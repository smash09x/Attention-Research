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assa\Downloads\Attention\Attention Research\All\Data\"/>
    </mc:Choice>
  </mc:AlternateContent>
  <xr:revisionPtr revIDLastSave="0" documentId="13_ncr:1_{FA9D979A-7D97-4A2B-B71E-B1B62B98FDF5}" xr6:coauthVersionLast="47" xr6:coauthVersionMax="47" xr10:uidLastSave="{00000000-0000-0000-0000-000000000000}"/>
  <bookViews>
    <workbookView xWindow="-28920" yWindow="-120" windowWidth="29040" windowHeight="15720" activeTab="3" xr2:uid="{7C03207C-6ACB-4BB3-9E91-A711293E6659}"/>
  </bookViews>
  <sheets>
    <sheet name="Keywords_Main" sheetId="7" r:id="rId1"/>
    <sheet name="Keywords_Age" sheetId="1" r:id="rId2"/>
    <sheet name="Trends_Main" sheetId="8" r:id="rId3"/>
    <sheet name="Trends_Age" sheetId="4" r:id="rId4"/>
    <sheet name="Youtube_Main" sheetId="9" r:id="rId5"/>
    <sheet name="Youtube_Age" sheetId="6" r:id="rId6"/>
  </sheets>
  <definedNames>
    <definedName name="ExternalData_1" localSheetId="1" hidden="1">Keywords_Age!$A$1:$I$115</definedName>
    <definedName name="ExternalData_1" localSheetId="0" hidden="1">Keywords_Main!$A$1:$I$109</definedName>
    <definedName name="ExternalData_1" localSheetId="3" hidden="1">Trends_Age!$A$1:$Q$199</definedName>
    <definedName name="ExternalData_1" localSheetId="2" hidden="1">Trends_Main!$A$1:$R$117</definedName>
    <definedName name="ExternalData_1" localSheetId="5" hidden="1">Youtube_Age!$A$1:$AD$198</definedName>
    <definedName name="ExternalData_1" localSheetId="4" hidden="1">Youtube_Main!$A$1:$AD$117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8" i="4" l="1"/>
  <c r="R9" i="4"/>
  <c r="R10" i="4"/>
  <c r="R11" i="4"/>
  <c r="R12" i="4"/>
  <c r="R13" i="4"/>
  <c r="R14" i="4"/>
  <c r="R15" i="4"/>
  <c r="R16" i="4"/>
  <c r="R17" i="4"/>
  <c r="R18" i="4"/>
  <c r="R19" i="4"/>
  <c r="R20" i="4"/>
  <c r="R21" i="4"/>
  <c r="R22" i="4"/>
  <c r="R23" i="4"/>
  <c r="R24" i="4"/>
  <c r="R25" i="4"/>
  <c r="R26" i="4"/>
  <c r="R27" i="4"/>
  <c r="R28" i="4"/>
  <c r="R29" i="4"/>
  <c r="R30" i="4"/>
  <c r="R31" i="4"/>
  <c r="R32" i="4"/>
  <c r="R33" i="4"/>
  <c r="R34" i="4"/>
  <c r="R35" i="4"/>
  <c r="R36" i="4"/>
  <c r="R37" i="4"/>
  <c r="R38" i="4"/>
  <c r="R39" i="4"/>
  <c r="R40" i="4"/>
  <c r="R41" i="4"/>
  <c r="R42" i="4"/>
  <c r="R43" i="4"/>
  <c r="R44" i="4"/>
  <c r="R45" i="4"/>
  <c r="R46" i="4"/>
  <c r="R47" i="4"/>
  <c r="R48" i="4"/>
  <c r="R49" i="4"/>
  <c r="R50" i="4"/>
  <c r="R51" i="4"/>
  <c r="R52" i="4"/>
  <c r="R53" i="4"/>
  <c r="R54" i="4"/>
  <c r="R55" i="4"/>
  <c r="R56" i="4"/>
  <c r="R57" i="4"/>
  <c r="R58" i="4"/>
  <c r="R59" i="4"/>
  <c r="R60" i="4"/>
  <c r="R61" i="4"/>
  <c r="R62" i="4"/>
  <c r="R63" i="4"/>
  <c r="R64" i="4"/>
  <c r="R65" i="4"/>
  <c r="R66" i="4"/>
  <c r="R67" i="4"/>
  <c r="R68" i="4"/>
  <c r="R69" i="4"/>
  <c r="R70" i="4"/>
  <c r="R71" i="4"/>
  <c r="R72" i="4"/>
  <c r="R73" i="4"/>
  <c r="R74" i="4"/>
  <c r="R75" i="4"/>
  <c r="R76" i="4"/>
  <c r="R77" i="4"/>
  <c r="R78" i="4"/>
  <c r="R79" i="4"/>
  <c r="R80" i="4"/>
  <c r="R81" i="4"/>
  <c r="R82" i="4"/>
  <c r="R83" i="4"/>
  <c r="R84" i="4"/>
  <c r="R85" i="4"/>
  <c r="R86" i="4"/>
  <c r="R87" i="4"/>
  <c r="R88" i="4"/>
  <c r="R89" i="4"/>
  <c r="R90" i="4"/>
  <c r="R91" i="4"/>
  <c r="R92" i="4"/>
  <c r="R93" i="4"/>
  <c r="R94" i="4"/>
  <c r="R95" i="4"/>
  <c r="R96" i="4"/>
  <c r="R97" i="4"/>
  <c r="R98" i="4"/>
  <c r="R99" i="4"/>
  <c r="R100" i="4"/>
  <c r="R101" i="4"/>
  <c r="R102" i="4"/>
  <c r="R103" i="4"/>
  <c r="R104" i="4"/>
  <c r="R105" i="4"/>
  <c r="R106" i="4"/>
  <c r="R107" i="4"/>
  <c r="R108" i="4"/>
  <c r="R109" i="4"/>
  <c r="R110" i="4"/>
  <c r="R111" i="4"/>
  <c r="R112" i="4"/>
  <c r="R113" i="4"/>
  <c r="R114" i="4"/>
  <c r="R115" i="4"/>
  <c r="R116" i="4"/>
  <c r="R117" i="4"/>
  <c r="R118" i="4"/>
  <c r="R119" i="4"/>
  <c r="R120" i="4"/>
  <c r="R121" i="4"/>
  <c r="R122" i="4"/>
  <c r="R123" i="4"/>
  <c r="R124" i="4"/>
  <c r="R125" i="4"/>
  <c r="R126" i="4"/>
  <c r="R127" i="4"/>
  <c r="R128" i="4"/>
  <c r="R129" i="4"/>
  <c r="R130" i="4"/>
  <c r="R131" i="4"/>
  <c r="R132" i="4"/>
  <c r="R133" i="4"/>
  <c r="R134" i="4"/>
  <c r="R135" i="4"/>
  <c r="R136" i="4"/>
  <c r="R137" i="4"/>
  <c r="R138" i="4"/>
  <c r="R139" i="4"/>
  <c r="R140" i="4"/>
  <c r="R141" i="4"/>
  <c r="R142" i="4"/>
  <c r="R143" i="4"/>
  <c r="R144" i="4"/>
  <c r="R145" i="4"/>
  <c r="R146" i="4"/>
  <c r="R147" i="4"/>
  <c r="R148" i="4"/>
  <c r="R149" i="4"/>
  <c r="R150" i="4"/>
  <c r="R151" i="4"/>
  <c r="R152" i="4"/>
  <c r="R153" i="4"/>
  <c r="R154" i="4"/>
  <c r="R155" i="4"/>
  <c r="R156" i="4"/>
  <c r="R157" i="4"/>
  <c r="R158" i="4"/>
  <c r="R159" i="4"/>
  <c r="R160" i="4"/>
  <c r="R161" i="4"/>
  <c r="R162" i="4"/>
  <c r="R163" i="4"/>
  <c r="R164" i="4"/>
  <c r="R165" i="4"/>
  <c r="R166" i="4"/>
  <c r="R167" i="4"/>
  <c r="R168" i="4"/>
  <c r="R169" i="4"/>
  <c r="R170" i="4"/>
  <c r="R171" i="4"/>
  <c r="R172" i="4"/>
  <c r="R173" i="4"/>
  <c r="R174" i="4"/>
  <c r="R175" i="4"/>
  <c r="R176" i="4"/>
  <c r="R177" i="4"/>
  <c r="R178" i="4"/>
  <c r="R179" i="4"/>
  <c r="R180" i="4"/>
  <c r="R181" i="4"/>
  <c r="R182" i="4"/>
  <c r="R183" i="4"/>
  <c r="R184" i="4"/>
  <c r="R185" i="4"/>
  <c r="R186" i="4"/>
  <c r="R187" i="4"/>
  <c r="R188" i="4"/>
  <c r="R189" i="4"/>
  <c r="R190" i="4"/>
  <c r="R191" i="4"/>
  <c r="R192" i="4"/>
  <c r="R193" i="4"/>
  <c r="R194" i="4"/>
  <c r="R195" i="4"/>
  <c r="R196" i="4"/>
  <c r="R197" i="4"/>
  <c r="R198" i="4"/>
  <c r="R199" i="4"/>
  <c r="R3" i="4"/>
  <c r="R4" i="4"/>
  <c r="R5" i="4"/>
  <c r="R6" i="4"/>
  <c r="R7" i="4"/>
  <c r="R2" i="4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18FD402-369A-4D32-89FF-6388F0174634}" keepAlive="1" name="Query - Table1" description="Connection to the 'Table1' query in the workbook." type="5" refreshedVersion="8" background="1" saveData="1">
    <dbPr connection="Provider=Microsoft.Mashup.OleDb.1;Data Source=$Workbook$;Location=Table1;Extended Properties=&quot;&quot;" command="SELECT * FROM [Table1]"/>
  </connection>
  <connection id="2" xr16:uid="{43BA8836-88F1-47C0-87B0-4EDD416CE70A}" keepAlive="1" name="Query - Table1 (2)" description="Connection to the 'Table1 (2)' query in the workbook." type="5" refreshedVersion="8" background="1" saveData="1">
    <dbPr connection="Provider=Microsoft.Mashup.OleDb.1;Data Source=$Workbook$;Location=&quot;Table1 (2)&quot;;Extended Properties=&quot;&quot;" command="SELECT * FROM [Table1 (2)]"/>
  </connection>
  <connection id="3" xr16:uid="{E9FD263F-9A27-4013-B92B-C5DBF00DF4C2}" keepAlive="1" name="Query - Table1 (3)" description="Connection to the 'Table1 (3)' query in the workbook." type="5" refreshedVersion="8" background="1" saveData="1">
    <dbPr connection="Provider=Microsoft.Mashup.OleDb.1;Data Source=$Workbook$;Location=&quot;Table1 (3)&quot;;Extended Properties=&quot;&quot;" command="SELECT * FROM [Table1 (3)]"/>
  </connection>
  <connection id="4" xr16:uid="{27DB29B3-E545-4D91-B119-184F3B788E67}" keepAlive="1" name="Query - Table1 (4)" description="Connection to the 'Table1 (4)' query in the workbook." type="5" refreshedVersion="8" background="1" saveData="1">
    <dbPr connection="Provider=Microsoft.Mashup.OleDb.1;Data Source=$Workbook$;Location=&quot;Table1 (4)&quot;;Extended Properties=&quot;&quot;" command="SELECT * FROM [Table1 (4)]"/>
  </connection>
  <connection id="5" xr16:uid="{E53FA493-0ECF-41E7-B23D-E0FDEC64A309}" keepAlive="1" name="Query - Table1 (5)" description="Connection to the 'Table1 (5)' query in the workbook." type="5" refreshedVersion="8" background="1" saveData="1">
    <dbPr connection="Provider=Microsoft.Mashup.OleDb.1;Data Source=$Workbook$;Location=&quot;Table1 (5)&quot;;Extended Properties=&quot;&quot;" command="SELECT * FROM [Table1 (5)]"/>
  </connection>
  <connection id="6" xr16:uid="{0F15E25B-82AE-43D3-9B88-24CDA8E40F16}" keepAlive="1" name="Query - Table1 (6)" description="Connection to the 'Table1 (6)' query in the workbook." type="5" refreshedVersion="8" background="1" saveData="1">
    <dbPr connection="Provider=Microsoft.Mashup.OleDb.1;Data Source=$Workbook$;Location=&quot;Table1 (6)&quot;;Extended Properties=&quot;&quot;" command="SELECT * FROM [Table1 (6)]"/>
  </connection>
  <connection id="7" xr16:uid="{E94FC49F-E826-4E46-B23B-6818B1753B55}" keepAlive="1" name="Query - Table1 (7)" description="Connection to the 'Table1 (7)' query in the workbook." type="5" refreshedVersion="8" background="1" saveData="1">
    <dbPr connection="Provider=Microsoft.Mashup.OleDb.1;Data Source=$Workbook$;Location=&quot;Table1 (7)&quot;;Extended Properties=&quot;&quot;" command="SELECT * FROM [Table1 (7)]"/>
  </connection>
  <connection id="8" xr16:uid="{7F4C1CC6-B0F2-4F37-91F1-31EB9D3DBDC2}" keepAlive="1" name="Query - Table1 (8)" description="Connection to the 'Table1 (8)' query in the workbook." type="5" refreshedVersion="8" background="1" saveData="1">
    <dbPr connection="Provider=Microsoft.Mashup.OleDb.1;Data Source=$Workbook$;Location=&quot;Table1 (8)&quot;;Extended Properties=&quot;&quot;" command="SELECT * FROM [Table1 (8)]"/>
  </connection>
  <connection id="9" xr16:uid="{CD79D703-3D61-473D-AB8B-195327E48F5A}" keepAlive="1" name="Query - Table1 (9)" description="Connection to the 'Table1 (9)' query in the workbook." type="5" refreshedVersion="8" background="1" saveData="1">
    <dbPr connection="Provider=Microsoft.Mashup.OleDb.1;Data Source=$Workbook$;Location=&quot;Table1 (9)&quot;;Extended Properties=&quot;&quot;" command="SELECT * FROM [Table1 (9)]"/>
  </connection>
</connections>
</file>

<file path=xl/sharedStrings.xml><?xml version="1.0" encoding="utf-8"?>
<sst xmlns="http://schemas.openxmlformats.org/spreadsheetml/2006/main" count="3067" uniqueCount="288">
  <si>
    <t>age_proxy</t>
  </si>
  <si>
    <t>Werk</t>
  </si>
  <si>
    <t>Cosplay</t>
  </si>
  <si>
    <t>Fursona</t>
  </si>
  <si>
    <t>Best girl</t>
  </si>
  <si>
    <t>Chibi</t>
  </si>
  <si>
    <t>Yandere</t>
  </si>
  <si>
    <t>Tsundere</t>
  </si>
  <si>
    <t>Senpai</t>
  </si>
  <si>
    <t>Shonen</t>
  </si>
  <si>
    <t>Isekai</t>
  </si>
  <si>
    <t>Scene kid</t>
  </si>
  <si>
    <t>Brony</t>
  </si>
  <si>
    <t>Headcanon</t>
  </si>
  <si>
    <t>OTP</t>
  </si>
  <si>
    <t>Vaporwave</t>
  </si>
  <si>
    <t>Cottagecore</t>
  </si>
  <si>
    <t>Dark academia</t>
  </si>
  <si>
    <t>Gacha</t>
  </si>
  <si>
    <t>Kiki</t>
  </si>
  <si>
    <t>Kandi</t>
  </si>
  <si>
    <t>PLUR</t>
  </si>
  <si>
    <t>Bias wrecker</t>
  </si>
  <si>
    <t>Aegyo</t>
  </si>
  <si>
    <t>Maknae</t>
  </si>
  <si>
    <t>Kawaii</t>
  </si>
  <si>
    <t>Baka</t>
  </si>
  <si>
    <t>Waifu</t>
  </si>
  <si>
    <t>Otaku</t>
  </si>
  <si>
    <t>Weeb</t>
  </si>
  <si>
    <t>Aura points</t>
  </si>
  <si>
    <t>Mewing</t>
  </si>
  <si>
    <t>Girl dinner</t>
  </si>
  <si>
    <t>Delulu</t>
  </si>
  <si>
    <t>Big yikes</t>
  </si>
  <si>
    <t>Down bad</t>
  </si>
  <si>
    <t>Zoomer generation</t>
  </si>
  <si>
    <t>Understood the assignment</t>
  </si>
  <si>
    <t>Vibe check</t>
  </si>
  <si>
    <t>Poggers</t>
  </si>
  <si>
    <t>Sheesh (slang)</t>
  </si>
  <si>
    <t>And I oop</t>
  </si>
  <si>
    <t>Sksksk</t>
  </si>
  <si>
    <t>E-girl aesthetic</t>
  </si>
  <si>
    <t>Ok boomer</t>
  </si>
  <si>
    <t>Netflix and chill</t>
  </si>
  <si>
    <t>Do it for the vine</t>
  </si>
  <si>
    <t>yeet</t>
  </si>
  <si>
    <t>throw shade</t>
  </si>
  <si>
    <t>simp</t>
  </si>
  <si>
    <t>rizz</t>
  </si>
  <si>
    <t>on fleek</t>
  </si>
  <si>
    <t>no cap</t>
  </si>
  <si>
    <t>lit</t>
  </si>
  <si>
    <t>gyat</t>
  </si>
  <si>
    <t>cheugy</t>
  </si>
  <si>
    <t>bussin</t>
  </si>
  <si>
    <t>VSCO girl</t>
  </si>
  <si>
    <t>Baby Gronk</t>
  </si>
  <si>
    <t>Only in Ohio meme</t>
  </si>
  <si>
    <t>Fanum tax</t>
  </si>
  <si>
    <t>Sigma grindset</t>
  </si>
  <si>
    <t>On Wednesdays we wear pink meme</t>
  </si>
  <si>
    <t>sus among us</t>
  </si>
  <si>
    <t>skibidi toilet</t>
  </si>
  <si>
    <t>Italian brainrot</t>
  </si>
  <si>
    <t>Hawk Tuah</t>
  </si>
  <si>
    <t>Charlie bit my finger</t>
  </si>
  <si>
    <t>David after dentist</t>
  </si>
  <si>
    <t>Peanut butter jelly time</t>
  </si>
  <si>
    <t>Keyboard cat</t>
  </si>
  <si>
    <t>Chocolate rain</t>
  </si>
  <si>
    <t>Woman yelling at cat</t>
  </si>
  <si>
    <t>Loss (meme)</t>
  </si>
  <si>
    <t>Kermit sipping tea</t>
  </si>
  <si>
    <t>Doot doot (meme)</t>
  </si>
  <si>
    <t>Thot (slang)</t>
  </si>
  <si>
    <t>Sad boi hours</t>
  </si>
  <si>
    <t>Ight Imma head out</t>
  </si>
  <si>
    <t>Heckin chonker</t>
  </si>
  <si>
    <t>U mad bro</t>
  </si>
  <si>
    <t>Fail whale</t>
  </si>
  <si>
    <t>O RLY</t>
  </si>
  <si>
    <t>All your base are belong to us</t>
  </si>
  <si>
    <t>Leeroy Jenkins</t>
  </si>
  <si>
    <t>N00b</t>
  </si>
  <si>
    <t>Rekt</t>
  </si>
  <si>
    <t>PogChamp</t>
  </si>
  <si>
    <t>MonkaS</t>
  </si>
  <si>
    <t>FeelsGoodMan</t>
  </si>
  <si>
    <t>FeelsBadMan</t>
  </si>
  <si>
    <t>Ayy lmao</t>
  </si>
  <si>
    <t>Nae nae</t>
  </si>
  <si>
    <t>Sugondese</t>
  </si>
  <si>
    <t>Bofa</t>
  </si>
  <si>
    <t>Press F to pay respects</t>
  </si>
  <si>
    <t>Wombo combo</t>
  </si>
  <si>
    <t>Kappa</t>
  </si>
  <si>
    <t>Pepega</t>
  </si>
  <si>
    <t>Malding</t>
  </si>
  <si>
    <t>Sadge</t>
  </si>
  <si>
    <t>Stonks</t>
  </si>
  <si>
    <t>Reeee</t>
  </si>
  <si>
    <t>Kekw</t>
  </si>
  <si>
    <t>Updog</t>
  </si>
  <si>
    <t>Sugma</t>
  </si>
  <si>
    <t>Ligma</t>
  </si>
  <si>
    <t>Bing chilling</t>
  </si>
  <si>
    <t>Big Chungus</t>
  </si>
  <si>
    <t>Deez nuts</t>
  </si>
  <si>
    <t>Dat boi</t>
  </si>
  <si>
    <t>Whomst</t>
  </si>
  <si>
    <t>Trollface</t>
  </si>
  <si>
    <t>Nyan Cat</t>
  </si>
  <si>
    <t>Ermahgerd</t>
  </si>
  <si>
    <t>has_persistence_reason</t>
  </si>
  <si>
    <t>platform_driven</t>
  </si>
  <si>
    <t>is_platform_event</t>
  </si>
  <si>
    <t>is_viral</t>
  </si>
  <si>
    <t>is_movie</t>
  </si>
  <si>
    <t>is_control</t>
  </si>
  <si>
    <t>is_age_proxy</t>
  </si>
  <si>
    <t>category</t>
  </si>
  <si>
    <t>keyword</t>
  </si>
  <si>
    <t>platform_event</t>
  </si>
  <si>
    <t>Coldplay kiss cam CEO scandal</t>
  </si>
  <si>
    <t>Sydney Sweeney American Eagle ad controversy</t>
  </si>
  <si>
    <t>Grimace Shake trend</t>
  </si>
  <si>
    <t>Bean Dad Twitter thread</t>
  </si>
  <si>
    <t>Try Guys Ned Fulmer scandal</t>
  </si>
  <si>
    <t>Will Smith Oscars slap</t>
  </si>
  <si>
    <t>Bernie Sanders mittens meme</t>
  </si>
  <si>
    <t>Harambe meme</t>
  </si>
  <si>
    <t>Storm Area 51</t>
  </si>
  <si>
    <t>Left Shark Super Bowl</t>
  </si>
  <si>
    <t>Distracted Boyfriend meme</t>
  </si>
  <si>
    <t>Alex from Target</t>
  </si>
  <si>
    <t>Willy's Chocolate Experience</t>
  </si>
  <si>
    <t>Gorilla Glue Girl</t>
  </si>
  <si>
    <t>Damn Daniel</t>
  </si>
  <si>
    <t>Chewbacca Mom</t>
  </si>
  <si>
    <t>Balenciaga ad controversy</t>
  </si>
  <si>
    <t>control</t>
  </si>
  <si>
    <t>Chile wildfires 2024</t>
  </si>
  <si>
    <t>India heat wave 2024</t>
  </si>
  <si>
    <t>Morocco earthquake 2023</t>
  </si>
  <si>
    <t>Japan Noto Peninsula earthquake</t>
  </si>
  <si>
    <t>Grindavik Iceland volcano eruption</t>
  </si>
  <si>
    <t>Maui Lahaina wildfires</t>
  </si>
  <si>
    <t>Champlain Towers South collapse</t>
  </si>
  <si>
    <t>Haiti earthquake 2021</t>
  </si>
  <si>
    <t>Australian bushfires 2020</t>
  </si>
  <si>
    <t>Notre Dame fire</t>
  </si>
  <si>
    <t>Camp Fire California wildfire</t>
  </si>
  <si>
    <t>Hurricane Maria</t>
  </si>
  <si>
    <t>Panama Papers leak</t>
  </si>
  <si>
    <t>Nepal earthquake 2015</t>
  </si>
  <si>
    <t>Zika virus outbreak</t>
  </si>
  <si>
    <t>Turkey Syria earthquake</t>
  </si>
  <si>
    <t>Total solar eclipse 2024</t>
  </si>
  <si>
    <t>Total solar eclipse 2017</t>
  </si>
  <si>
    <t>Tonga volcano eruption</t>
  </si>
  <si>
    <t>Suez Canal ship blockage</t>
  </si>
  <si>
    <t>Stephen Hawking death</t>
  </si>
  <si>
    <t>SpaceX Falcon Heavy first launch</t>
  </si>
  <si>
    <t>SpaceX Crew Dragon</t>
  </si>
  <si>
    <t>Perseverance Mars rover landing</t>
  </si>
  <si>
    <t>New Horizons Pluto flyby</t>
  </si>
  <si>
    <t>La Palma volcano eruption</t>
  </si>
  <si>
    <t>LK-99 superconductor</t>
  </si>
  <si>
    <t>LIGO gravitational waves</t>
  </si>
  <si>
    <t>James Webb Space Telescope first images</t>
  </si>
  <si>
    <t>Hurricane Harvey</t>
  </si>
  <si>
    <t>CRISPR babies</t>
  </si>
  <si>
    <t>Beirut port explosion</t>
  </si>
  <si>
    <t>Baltimore bridge collapse</t>
  </si>
  <si>
    <t>viral</t>
  </si>
  <si>
    <t>Mob wife aesthetic trend</t>
  </si>
  <si>
    <t>Roman Empire trend</t>
  </si>
  <si>
    <t>Dalgona whipped coffee trend</t>
  </si>
  <si>
    <t>Chair Challenge</t>
  </si>
  <si>
    <t>Blinding Lights dance challenge</t>
  </si>
  <si>
    <t>Savage Love dance challenge</t>
  </si>
  <si>
    <t>Flip the Switch Challenge</t>
  </si>
  <si>
    <t>Running Man Challenge</t>
  </si>
  <si>
    <t>Harlem Shake</t>
  </si>
  <si>
    <t>Wipe It Down Challenge</t>
  </si>
  <si>
    <t>Tide Pod Challenge</t>
  </si>
  <si>
    <t>Renegade dance</t>
  </si>
  <si>
    <t>Mannequin Challenge</t>
  </si>
  <si>
    <t>Kiki Challenge In My Feelings</t>
  </si>
  <si>
    <t>Gummy Bear Challenge</t>
  </si>
  <si>
    <t>Ghibli style AI images</t>
  </si>
  <si>
    <t>Demure</t>
  </si>
  <si>
    <t>Corn Kid</t>
  </si>
  <si>
    <t>Bored in the House</t>
  </si>
  <si>
    <t>movie</t>
  </si>
  <si>
    <t>Sinners movie 2025</t>
  </si>
  <si>
    <t>A Minecraft Movie</t>
  </si>
  <si>
    <t>Poor Things movie</t>
  </si>
  <si>
    <t>Godzilla Minus One</t>
  </si>
  <si>
    <t>Inside Out 2</t>
  </si>
  <si>
    <t>Dune Part Two</t>
  </si>
  <si>
    <t>Minions Rise of Gru</t>
  </si>
  <si>
    <t>Everything Everywhere All at Once</t>
  </si>
  <si>
    <t>The Batman movie</t>
  </si>
  <si>
    <t>No Time to Die movie</t>
  </si>
  <si>
    <t>Soul movie</t>
  </si>
  <si>
    <t>Tenet movie</t>
  </si>
  <si>
    <t>Bohemian Rhapsody movie</t>
  </si>
  <si>
    <t>Get Out movie</t>
  </si>
  <si>
    <t>Deadpool movie 2016</t>
  </si>
  <si>
    <t>Wonder Woman movie</t>
  </si>
  <si>
    <t>Black Panther movie</t>
  </si>
  <si>
    <t>Frozen movie</t>
  </si>
  <si>
    <t>Wicked movie</t>
  </si>
  <si>
    <t>Top Gun Maverick</t>
  </si>
  <si>
    <t>Star Wars The Force Awakens</t>
  </si>
  <si>
    <t>Spider-Man No Way Home</t>
  </si>
  <si>
    <t>Sonic the Hedgehog movie</t>
  </si>
  <si>
    <t>Oppenheimer film</t>
  </si>
  <si>
    <t>Jurassic World</t>
  </si>
  <si>
    <t>Encanto</t>
  </si>
  <si>
    <t>Deadpool and Wolverine</t>
  </si>
  <si>
    <t>Barbie film</t>
  </si>
  <si>
    <t>Avengers Infinity War</t>
  </si>
  <si>
    <t>Avengers Endgame</t>
  </si>
  <si>
    <t>plain text (no entity match found)</t>
  </si>
  <si>
    <t>global</t>
  </si>
  <si>
    <t>baseline</t>
  </si>
  <si>
    <t>ai_gen</t>
  </si>
  <si>
    <t>reels_covid</t>
  </si>
  <si>
    <t>TOPIC entity ('Poor Things', type=Film)</t>
  </si>
  <si>
    <t>TOPIC entity ('Barbie', type=Film)</t>
  </si>
  <si>
    <t>post_peak_width_days</t>
  </si>
  <si>
    <t>never_decays_in_scope</t>
  </si>
  <si>
    <t>possible_weekly_resolution</t>
  </si>
  <si>
    <t>width_truncated</t>
  </si>
  <si>
    <t>tight_pad_days</t>
  </si>
  <si>
    <t>time_to_peak_days</t>
  </si>
  <si>
    <t>peak_width_days</t>
  </si>
  <si>
    <t>peak_value</t>
  </si>
  <si>
    <t>event_end_date</t>
  </si>
  <si>
    <t>event_start_date</t>
  </si>
  <si>
    <t>data_mode</t>
  </si>
  <si>
    <t>rel_to_anchor</t>
  </si>
  <si>
    <t>rough_peak_date</t>
  </si>
  <si>
    <t>surge_number</t>
  </si>
  <si>
    <t>geo</t>
  </si>
  <si>
    <t>era</t>
  </si>
  <si>
    <t>TOPIC entity ('Red Cliff', type=Film)</t>
  </si>
  <si>
    <t>total_views_videos</t>
  </si>
  <si>
    <t>total_views_shorts</t>
  </si>
  <si>
    <t>total_views_all</t>
  </si>
  <si>
    <t>max_views_seen_videos</t>
  </si>
  <si>
    <t>max_views_seen_shorts</t>
  </si>
  <si>
    <t>max_views_seen_all</t>
  </si>
  <si>
    <t>min_views_seen_videos</t>
  </si>
  <si>
    <t>min_views_seen_shorts</t>
  </si>
  <si>
    <t>min_views_seen_all</t>
  </si>
  <si>
    <t>mean_views_videos</t>
  </si>
  <si>
    <t>mean_views_shorts</t>
  </si>
  <si>
    <t>mean_views_all</t>
  </si>
  <si>
    <t>median_views_videos</t>
  </si>
  <si>
    <t>median_views_shorts</t>
  </si>
  <si>
    <t>median_views_all</t>
  </si>
  <si>
    <t>pct_above_threshold_videos</t>
  </si>
  <si>
    <t>pct_above_threshold_shorts</t>
  </si>
  <si>
    <t>pct_above_threshold_all</t>
  </si>
  <si>
    <t>below_threshold_videos</t>
  </si>
  <si>
    <t>below_threshold_shorts</t>
  </si>
  <si>
    <t>below_threshold_all</t>
  </si>
  <si>
    <t>above_threshold_videos</t>
  </si>
  <si>
    <t>above_threshold_shorts</t>
  </si>
  <si>
    <t>above_threshold_all</t>
  </si>
  <si>
    <t>sample_size_videos</t>
  </si>
  <si>
    <t>sample_size_shorts</t>
  </si>
  <si>
    <t>sample_size_all</t>
  </si>
  <si>
    <t>COVID-19 vaccine</t>
  </si>
  <si>
    <t>Hot girl walk</t>
  </si>
  <si>
    <t>De-influencing</t>
  </si>
  <si>
    <t>Whip Nae Nae</t>
  </si>
  <si>
    <t>Thai cave rescue</t>
  </si>
  <si>
    <t>SpaceX Starship</t>
  </si>
  <si>
    <t>OceanGate Titan</t>
  </si>
  <si>
    <t>Libya Derna flood</t>
  </si>
  <si>
    <t>Astroworld crowd crush</t>
  </si>
  <si>
    <t>plain text (fallback after empty entity match)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</si>
</sst>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22" fontId="0" fillId="0" borderId="0" xfId="0" applyNumberFormat="1"/>
  </cellXfs>
  <cellStyles count="1">
    <cellStyle name="Normal" xfId="0" builtinId="0"/>
  </cellStyles>
  <dxfs count="26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m/d/yyyy\ h:mm"/>
    </dxf>
    <dxf>
      <numFmt numFmtId="27" formatCode="m/d/yyyy\ h:mm"/>
    </dxf>
    <dxf>
      <numFmt numFmtId="0" formatCode="General"/>
    </dxf>
    <dxf>
      <numFmt numFmtId="27" formatCode="m/d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m/d/yyyy\ h:mm"/>
    </dxf>
    <dxf>
      <numFmt numFmtId="27" formatCode="m/d/yyyy\ h:mm"/>
    </dxf>
    <dxf>
      <numFmt numFmtId="0" formatCode="General"/>
    </dxf>
    <dxf>
      <numFmt numFmtId="27" formatCode="m/d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" xr16:uid="{EC326008-377E-4E17-82E7-71274D9A9292}" autoFormatId="16" applyNumberFormats="0" applyBorderFormats="0" applyFontFormats="0" applyPatternFormats="0" applyAlignmentFormats="0" applyWidthHeightFormats="0">
  <queryTableRefresh nextId="10">
    <queryTableFields count="9">
      <queryTableField id="1" name="keyword" tableColumnId="1"/>
      <queryTableField id="2" name="category" tableColumnId="2"/>
      <queryTableField id="3" name="is_age_proxy" tableColumnId="3"/>
      <queryTableField id="4" name="is_control" tableColumnId="4"/>
      <queryTableField id="5" name="is_movie" tableColumnId="5"/>
      <queryTableField id="6" name="is_viral" tableColumnId="6"/>
      <queryTableField id="7" name="is_platform_event" tableColumnId="7"/>
      <queryTableField id="8" name="platform_driven" tableColumnId="8"/>
      <queryTableField id="9" name="has_persistence_reason" tableColumnId="9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C0330EAA-7B6D-4866-B688-19225D6DE35B}" autoFormatId="16" applyNumberFormats="0" applyBorderFormats="0" applyFontFormats="0" applyPatternFormats="0" applyAlignmentFormats="0" applyWidthHeightFormats="0">
  <queryTableRefresh nextId="10">
    <queryTableFields count="9">
      <queryTableField id="1" name="keyword" tableColumnId="1"/>
      <queryTableField id="2" name="category" tableColumnId="2"/>
      <queryTableField id="3" name="is_age_proxy" tableColumnId="3"/>
      <queryTableField id="4" name="is_control" tableColumnId="4"/>
      <queryTableField id="5" name="is_movie" tableColumnId="5"/>
      <queryTableField id="6" name="is_viral" tableColumnId="6"/>
      <queryTableField id="7" name="is_platform_event" tableColumnId="7"/>
      <queryTableField id="8" name="platform_driven" tableColumnId="8"/>
      <queryTableField id="9" name="has_persistence_reason" tableColumnId="9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8" xr16:uid="{E210CA2A-BFC2-42E1-AEB5-B7C8674CC8AC}" autoFormatId="16" applyNumberFormats="0" applyBorderFormats="0" applyFontFormats="0" applyPatternFormats="0" applyAlignmentFormats="0" applyWidthHeightFormats="0">
  <queryTableRefresh nextId="19">
    <queryTableFields count="18">
      <queryTableField id="1" name="keyword" tableColumnId="1"/>
      <queryTableField id="2" name="category" tableColumnId="2"/>
      <queryTableField id="3" name="era" tableColumnId="3"/>
      <queryTableField id="4" name="geo" tableColumnId="4"/>
      <queryTableField id="5" name="surge_number" tableColumnId="5"/>
      <queryTableField id="6" name="rough_peak_date" tableColumnId="6"/>
      <queryTableField id="7" name="rel_to_anchor" tableColumnId="7"/>
      <queryTableField id="8" name="data_mode" tableColumnId="8"/>
      <queryTableField id="9" name="event_start_date" tableColumnId="9"/>
      <queryTableField id="10" name="event_end_date" tableColumnId="10"/>
      <queryTableField id="11" name="peak_value" tableColumnId="11"/>
      <queryTableField id="12" name="peak_width_days" tableColumnId="12"/>
      <queryTableField id="13" name="time_to_peak_days" tableColumnId="13"/>
      <queryTableField id="14" name="tight_pad_days" tableColumnId="14"/>
      <queryTableField id="15" name="width_truncated" tableColumnId="15"/>
      <queryTableField id="16" name="possible_weekly_resolution" tableColumnId="16"/>
      <queryTableField id="17" name="never_decays_in_scope" tableColumnId="17"/>
      <queryTableField id="18" name="post_peak_width_days" tableColumnId="18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CF9ED197-C628-4101-9B94-FAAD150F807C}" autoFormatId="16" applyNumberFormats="0" applyBorderFormats="0" applyFontFormats="0" applyPatternFormats="0" applyAlignmentFormats="0" applyWidthHeightFormats="0">
  <queryTableRefresh nextId="19" unboundColumnsRight="1">
    <queryTableFields count="18">
      <queryTableField id="1" name="keyword" tableColumnId="1"/>
      <queryTableField id="2" name="category" tableColumnId="2"/>
      <queryTableField id="3" name="era" tableColumnId="3"/>
      <queryTableField id="4" name="geo" tableColumnId="4"/>
      <queryTableField id="5" name="surge_number" tableColumnId="5"/>
      <queryTableField id="6" name="rough_peak_date" tableColumnId="6"/>
      <queryTableField id="7" name="rel_to_anchor" tableColumnId="7"/>
      <queryTableField id="8" name="data_mode" tableColumnId="8"/>
      <queryTableField id="9" name="event_start_date" tableColumnId="9"/>
      <queryTableField id="10" name="event_end_date" tableColumnId="10"/>
      <queryTableField id="11" name="peak_value" tableColumnId="11"/>
      <queryTableField id="12" name="peak_width_days" tableColumnId="12"/>
      <queryTableField id="13" name="time_to_peak_days" tableColumnId="13"/>
      <queryTableField id="14" name="tight_pad_days" tableColumnId="14"/>
      <queryTableField id="15" name="width_truncated" tableColumnId="15"/>
      <queryTableField id="16" name="possible_weekly_resolution" tableColumnId="16"/>
      <queryTableField id="17" name="never_decays_in_scope" tableColumnId="17"/>
      <queryTableField id="18" dataBound="0" tableColumnId="18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9" xr16:uid="{530A5A83-17E1-4B8F-84F1-5A688AE2FA1D}" autoFormatId="16" applyNumberFormats="0" applyBorderFormats="0" applyFontFormats="0" applyPatternFormats="0" applyAlignmentFormats="0" applyWidthHeightFormats="0">
  <queryTableRefresh nextId="31">
    <queryTableFields count="30">
      <queryTableField id="1" name="keyword" tableColumnId="1"/>
      <queryTableField id="2" name="category" tableColumnId="2"/>
      <queryTableField id="3" name="era" tableColumnId="3"/>
      <queryTableField id="4" name="sample_size_all" tableColumnId="4"/>
      <queryTableField id="5" name="sample_size_shorts" tableColumnId="5"/>
      <queryTableField id="6" name="sample_size_videos" tableColumnId="6"/>
      <queryTableField id="7" name="above_threshold_all" tableColumnId="7"/>
      <queryTableField id="8" name="above_threshold_shorts" tableColumnId="8"/>
      <queryTableField id="9" name="above_threshold_videos" tableColumnId="9"/>
      <queryTableField id="10" name="below_threshold_all" tableColumnId="10"/>
      <queryTableField id="11" name="below_threshold_shorts" tableColumnId="11"/>
      <queryTableField id="12" name="below_threshold_videos" tableColumnId="12"/>
      <queryTableField id="13" name="pct_above_threshold_all" tableColumnId="13"/>
      <queryTableField id="14" name="pct_above_threshold_shorts" tableColumnId="14"/>
      <queryTableField id="15" name="pct_above_threshold_videos" tableColumnId="15"/>
      <queryTableField id="16" name="median_views_all" tableColumnId="16"/>
      <queryTableField id="17" name="median_views_shorts" tableColumnId="17"/>
      <queryTableField id="18" name="median_views_videos" tableColumnId="18"/>
      <queryTableField id="19" name="mean_views_all" tableColumnId="19"/>
      <queryTableField id="20" name="mean_views_shorts" tableColumnId="20"/>
      <queryTableField id="21" name="mean_views_videos" tableColumnId="21"/>
      <queryTableField id="22" name="min_views_seen_all" tableColumnId="22"/>
      <queryTableField id="23" name="min_views_seen_shorts" tableColumnId="23"/>
      <queryTableField id="24" name="min_views_seen_videos" tableColumnId="24"/>
      <queryTableField id="25" name="max_views_seen_all" tableColumnId="25"/>
      <queryTableField id="26" name="max_views_seen_shorts" tableColumnId="26"/>
      <queryTableField id="27" name="max_views_seen_videos" tableColumnId="27"/>
      <queryTableField id="28" name="total_views_all" tableColumnId="28"/>
      <queryTableField id="29" name="total_views_shorts" tableColumnId="29"/>
      <queryTableField id="30" name="total_views_videos" tableColumnId="30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" xr16:uid="{D0E418F5-657E-4AC5-A779-12A83C6679CB}" autoFormatId="16" applyNumberFormats="0" applyBorderFormats="0" applyFontFormats="0" applyPatternFormats="0" applyAlignmentFormats="0" applyWidthHeightFormats="0">
  <queryTableRefresh nextId="31">
    <queryTableFields count="30">
      <queryTableField id="1" name="keyword" tableColumnId="1"/>
      <queryTableField id="2" name="category" tableColumnId="2"/>
      <queryTableField id="3" name="era" tableColumnId="3"/>
      <queryTableField id="4" name="sample_size_all" tableColumnId="4"/>
      <queryTableField id="5" name="sample_size_shorts" tableColumnId="5"/>
      <queryTableField id="6" name="sample_size_videos" tableColumnId="6"/>
      <queryTableField id="7" name="above_threshold_all" tableColumnId="7"/>
      <queryTableField id="8" name="above_threshold_shorts" tableColumnId="8"/>
      <queryTableField id="9" name="above_threshold_videos" tableColumnId="9"/>
      <queryTableField id="10" name="below_threshold_all" tableColumnId="10"/>
      <queryTableField id="11" name="below_threshold_shorts" tableColumnId="11"/>
      <queryTableField id="12" name="below_threshold_videos" tableColumnId="12"/>
      <queryTableField id="13" name="pct_above_threshold_all" tableColumnId="13"/>
      <queryTableField id="14" name="pct_above_threshold_shorts" tableColumnId="14"/>
      <queryTableField id="15" name="pct_above_threshold_videos" tableColumnId="15"/>
      <queryTableField id="16" name="median_views_all" tableColumnId="16"/>
      <queryTableField id="17" name="median_views_shorts" tableColumnId="17"/>
      <queryTableField id="18" name="median_views_videos" tableColumnId="18"/>
      <queryTableField id="19" name="mean_views_all" tableColumnId="19"/>
      <queryTableField id="20" name="mean_views_shorts" tableColumnId="20"/>
      <queryTableField id="21" name="mean_views_videos" tableColumnId="21"/>
      <queryTableField id="22" name="min_views_seen_all" tableColumnId="22"/>
      <queryTableField id="23" name="min_views_seen_shorts" tableColumnId="23"/>
      <queryTableField id="24" name="min_views_seen_videos" tableColumnId="24"/>
      <queryTableField id="25" name="max_views_seen_all" tableColumnId="25"/>
      <queryTableField id="26" name="max_views_seen_shorts" tableColumnId="26"/>
      <queryTableField id="27" name="max_views_seen_videos" tableColumnId="27"/>
      <queryTableField id="28" name="total_views_all" tableColumnId="28"/>
      <queryTableField id="29" name="total_views_shorts" tableColumnId="29"/>
      <queryTableField id="30" name="total_views_videos" tableColumnId="30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869C775-6647-4F99-B79F-B9CFB39D7DEC}" name="Table1_13" displayName="Table1_13" ref="A1:I109" tableType="queryTable" totalsRowShown="0">
  <autoFilter ref="A1:I109" xr:uid="{F0BDB8B9-8916-4AF5-8ACD-A34264550682}"/>
  <tableColumns count="9">
    <tableColumn id="1" xr3:uid="{B70F1418-BD9E-48F9-983E-A2CD87C881C4}" uniqueName="1" name="keyword" queryTableFieldId="1" dataDxfId="25"/>
    <tableColumn id="2" xr3:uid="{E311C606-B3FC-4139-A78F-77885732DE68}" uniqueName="2" name="category" queryTableFieldId="2" dataDxfId="24"/>
    <tableColumn id="3" xr3:uid="{7D5A48FA-613E-4BF0-8780-DAB7AE673735}" uniqueName="3" name="is_age_proxy" queryTableFieldId="3"/>
    <tableColumn id="4" xr3:uid="{26049150-F446-48B7-8892-B985228734F7}" uniqueName="4" name="is_control" queryTableFieldId="4"/>
    <tableColumn id="5" xr3:uid="{48F3504A-35FE-4CE4-88E4-C71F822C59DC}" uniqueName="5" name="is_movie" queryTableFieldId="5"/>
    <tableColumn id="6" xr3:uid="{68D890B7-6C45-4E28-AA2A-F3B7A81C9355}" uniqueName="6" name="is_viral" queryTableFieldId="6"/>
    <tableColumn id="7" xr3:uid="{DA3D477D-48EA-4893-9617-676D71A442A3}" uniqueName="7" name="is_platform_event" queryTableFieldId="7"/>
    <tableColumn id="8" xr3:uid="{CFE4AA48-D8DE-4C70-B9B7-1B781CB00F70}" uniqueName="8" name="platform_driven" queryTableFieldId="8"/>
    <tableColumn id="9" xr3:uid="{B5193E88-B3D0-475B-9E87-DA5398CA9888}" uniqueName="9" name="has_persistence_reason" queryTableFieldId="9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ECBFE42-FCA5-4F8F-AEEC-B8D4861B2C0D}" name="Table1_1" displayName="Table1_1" ref="A1:I115" tableType="queryTable" totalsRowShown="0">
  <autoFilter ref="A1:I115" xr:uid="{5908AE59-322F-4126-AAC2-926FED85CA24}"/>
  <tableColumns count="9">
    <tableColumn id="1" xr3:uid="{95B8F058-736F-4463-AEE5-75C35CE9EBC2}" uniqueName="1" name="keyword" queryTableFieldId="1" dataDxfId="23"/>
    <tableColumn id="2" xr3:uid="{6B381136-FBC2-4B68-AF7E-46E1AD640D10}" uniqueName="2" name="category" queryTableFieldId="2" dataDxfId="22"/>
    <tableColumn id="3" xr3:uid="{529230B1-A8BD-404C-9A72-2BD5FDA224FA}" uniqueName="3" name="is_age_proxy" queryTableFieldId="3"/>
    <tableColumn id="4" xr3:uid="{6B0AFD6D-7769-4C8F-8335-8D1A3E10FDAF}" uniqueName="4" name="is_control" queryTableFieldId="4"/>
    <tableColumn id="5" xr3:uid="{67376D9F-08A7-4B47-A607-A0F3BC84798B}" uniqueName="5" name="is_movie" queryTableFieldId="5"/>
    <tableColumn id="6" xr3:uid="{FB7BEE79-AFB9-40FD-B1BA-C8FAB3C1FBA4}" uniqueName="6" name="is_viral" queryTableFieldId="6"/>
    <tableColumn id="7" xr3:uid="{756EC364-479E-425B-B23E-A775C8E53225}" uniqueName="7" name="is_platform_event" queryTableFieldId="7"/>
    <tableColumn id="8" xr3:uid="{B08483B1-6B8F-46AF-89F9-DBB7F47A3BAB}" uniqueName="8" name="platform_driven" queryTableFieldId="8"/>
    <tableColumn id="9" xr3:uid="{BEEDA37E-7AF3-44BE-B3CF-99E757786678}" uniqueName="9" name="has_persistence_reason" queryTableFieldId="9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CD8A02A-7B38-4B2F-95B4-4E114D901391}" name="Table1_14" displayName="Table1_14" ref="A1:R117" tableType="queryTable" totalsRowShown="0">
  <autoFilter ref="A1:R117" xr:uid="{CB076EDD-942C-487A-BC2D-51E30A57F16E}"/>
  <tableColumns count="18">
    <tableColumn id="1" xr3:uid="{298749CC-3D39-4B76-8DB9-6027708C5464}" uniqueName="1" name="keyword" queryTableFieldId="1" dataDxfId="21"/>
    <tableColumn id="2" xr3:uid="{F9434349-14BC-453E-8F98-7035F3B91197}" uniqueName="2" name="category" queryTableFieldId="2" dataDxfId="20"/>
    <tableColumn id="3" xr3:uid="{D42A5B5E-C718-4E65-86F2-73F90C16DC7D}" uniqueName="3" name="era" queryTableFieldId="3" dataDxfId="19"/>
    <tableColumn id="4" xr3:uid="{0344CB22-1115-43F2-AC70-8AB7099507F8}" uniqueName="4" name="geo" queryTableFieldId="4" dataDxfId="18"/>
    <tableColumn id="5" xr3:uid="{0FDD0A2C-1D88-4F28-87D6-95399A1C8989}" uniqueName="5" name="surge_number" queryTableFieldId="5"/>
    <tableColumn id="6" xr3:uid="{554A3BF1-CC13-4440-A517-FF24DB8DB9DA}" uniqueName="6" name="rough_peak_date" queryTableFieldId="6" dataDxfId="17"/>
    <tableColumn id="7" xr3:uid="{818E767C-71B1-495A-ADAF-3FD02B35CD2C}" uniqueName="7" name="rel_to_anchor" queryTableFieldId="7"/>
    <tableColumn id="8" xr3:uid="{71037692-683E-4653-B6E8-4E7DCCF9F3F1}" uniqueName="8" name="data_mode" queryTableFieldId="8" dataDxfId="16"/>
    <tableColumn id="9" xr3:uid="{D409987B-53E8-4166-9DD9-C9BC9052DD50}" uniqueName="9" name="event_start_date" queryTableFieldId="9" dataDxfId="15"/>
    <tableColumn id="10" xr3:uid="{17632782-752F-434B-926A-BF36CC60B7CC}" uniqueName="10" name="event_end_date" queryTableFieldId="10" dataDxfId="14"/>
    <tableColumn id="11" xr3:uid="{F37DAA51-5849-4BF7-8ED0-601531FCC1EB}" uniqueName="11" name="peak_value" queryTableFieldId="11"/>
    <tableColumn id="12" xr3:uid="{DA859A0F-1091-4113-A2FD-76F0F98D0F69}" uniqueName="12" name="peak_width_days" queryTableFieldId="12"/>
    <tableColumn id="13" xr3:uid="{DB611FDE-7985-4AF0-A0E7-5A5ECAE088D4}" uniqueName="13" name="time_to_peak_days" queryTableFieldId="13"/>
    <tableColumn id="14" xr3:uid="{FC5260AC-C089-4033-8E14-D51DE1759F17}" uniqueName="14" name="tight_pad_days" queryTableFieldId="14"/>
    <tableColumn id="15" xr3:uid="{8ABE6E2A-F667-4DD9-9ECF-06E04DCDA24F}" uniqueName="15" name="width_truncated" queryTableFieldId="15"/>
    <tableColumn id="16" xr3:uid="{9BD261A5-1EDA-43E1-A102-1514E3AE27DC}" uniqueName="16" name="possible_weekly_resolution" queryTableFieldId="16"/>
    <tableColumn id="17" xr3:uid="{F6CDAABB-18B8-42DD-8705-2E0F66C3A46E}" uniqueName="17" name="never_decays_in_scope" queryTableFieldId="17"/>
    <tableColumn id="18" xr3:uid="{C37F6773-5912-4643-B2E5-9C8065D83A0F}" uniqueName="18" name="post_peak_width_days" queryTableFieldId="1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8B0C239-13F2-4B5E-A89B-9B0D9C39BC13}" name="Table1_15" displayName="Table1_15" ref="A1:R199" tableType="queryTable" totalsRowShown="0">
  <autoFilter ref="A1:R199" xr:uid="{9E08CAAA-4141-4599-A14F-62573694E5C3}"/>
  <sortState xmlns:xlrd2="http://schemas.microsoft.com/office/spreadsheetml/2017/richdata2" ref="A2:Q199">
    <sortCondition ref="Q1:Q199"/>
  </sortState>
  <tableColumns count="18">
    <tableColumn id="1" xr3:uid="{1CD3E8E1-2BB3-4A03-85C2-31CC1F8E261C}" uniqueName="1" name="keyword" queryTableFieldId="1" dataDxfId="13"/>
    <tableColumn id="2" xr3:uid="{F5C7FDDA-790E-4A9E-963E-9916D7CCD769}" uniqueName="2" name="category" queryTableFieldId="2" dataDxfId="12"/>
    <tableColumn id="3" xr3:uid="{B3A1EC63-F05F-4D54-A4B7-307A96EFC969}" uniqueName="3" name="era" queryTableFieldId="3" dataDxfId="11"/>
    <tableColumn id="4" xr3:uid="{7C88D37A-7DB0-45AF-854D-DCEBE236549B}" uniqueName="4" name="geo" queryTableFieldId="4" dataDxfId="10"/>
    <tableColumn id="5" xr3:uid="{9655FD2C-3FE8-4459-AA93-B225EDE9FBAB}" uniqueName="5" name="surge_number" queryTableFieldId="5"/>
    <tableColumn id="6" xr3:uid="{CBD19FD4-E296-4581-AEFF-059718C37515}" uniqueName="6" name="rough_peak_date" queryTableFieldId="6" dataDxfId="9"/>
    <tableColumn id="7" xr3:uid="{11A76019-C05B-46E0-94B2-42139C60F18A}" uniqueName="7" name="rel_to_anchor" queryTableFieldId="7"/>
    <tableColumn id="8" xr3:uid="{F4024854-3BFD-43BD-BA9D-365AAA198ABC}" uniqueName="8" name="data_mode" queryTableFieldId="8" dataDxfId="8"/>
    <tableColumn id="9" xr3:uid="{E31BBBF3-E32A-474E-8BC9-AF9DC0014791}" uniqueName="9" name="event_start_date" queryTableFieldId="9" dataDxfId="7"/>
    <tableColumn id="10" xr3:uid="{FE5CC61A-CB75-4CA5-B08E-446834F46C48}" uniqueName="10" name="event_end_date" queryTableFieldId="10" dataDxfId="6"/>
    <tableColumn id="11" xr3:uid="{871EBBF1-7AA3-4B5F-86A2-05E02255C7F4}" uniqueName="11" name="peak_value" queryTableFieldId="11"/>
    <tableColumn id="12" xr3:uid="{07A4F057-ED36-4F00-BF35-A2D5F97B85A8}" uniqueName="12" name="peak_width_days" queryTableFieldId="12"/>
    <tableColumn id="13" xr3:uid="{2B87C964-B47B-4B04-B7B2-6F83DFF61965}" uniqueName="13" name="time_to_peak_days" queryTableFieldId="13"/>
    <tableColumn id="14" xr3:uid="{E115C360-B3D6-40DB-BE25-B773C67939D0}" uniqueName="14" name="tight_pad_days" queryTableFieldId="14"/>
    <tableColumn id="15" xr3:uid="{62308FD8-AE74-458D-B4C3-51D2B5AD64A3}" uniqueName="15" name="width_truncated" queryTableFieldId="15"/>
    <tableColumn id="16" xr3:uid="{7ACAE2CF-C3EC-4F89-B276-3A0CDC0616D1}" uniqueName="16" name="possible_weekly_resolution" queryTableFieldId="16"/>
    <tableColumn id="17" xr3:uid="{4728A1B8-0FD2-486D-9F15-DA0C1C67925F}" uniqueName="17" name="never_decays_in_scope" queryTableFieldId="17"/>
    <tableColumn id="18" xr3:uid="{311C2D2E-97B5-4863-90AE-570950DAE291}" uniqueName="18" name="post_peak_width_days" queryTableFieldId="18">
      <calculatedColumnFormula>Table1_15[[#This Row],[peak_width_days]]-Table1_15[[#This Row],[time_to_peak_days]]</calculatedColumnFormula>
    </tableColumn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BB300C6-200E-430F-B54C-483F28724BD1}" name="Table1_16" displayName="Table1_16" ref="A1:AD117" tableType="queryTable" totalsRowShown="0">
  <autoFilter ref="A1:AD117" xr:uid="{A0EA052B-4CD5-4898-B237-8B91CFBA77FC}"/>
  <tableColumns count="30">
    <tableColumn id="1" xr3:uid="{C15F599E-A0D7-4E92-8A77-667EF37A41D7}" uniqueName="1" name="keyword" queryTableFieldId="1" dataDxfId="5"/>
    <tableColumn id="2" xr3:uid="{4094219E-869F-4439-A3D4-E0918559803F}" uniqueName="2" name="category" queryTableFieldId="2" dataDxfId="4"/>
    <tableColumn id="3" xr3:uid="{042B637F-6049-4B87-93CA-61B97030CAA7}" uniqueName="3" name="era" queryTableFieldId="3" dataDxfId="3"/>
    <tableColumn id="4" xr3:uid="{25283AE7-8134-4B4E-8B27-30C021A51189}" uniqueName="4" name="sample_size_all" queryTableFieldId="4"/>
    <tableColumn id="5" xr3:uid="{50A92953-2905-4C26-A900-78B646648859}" uniqueName="5" name="sample_size_shorts" queryTableFieldId="5"/>
    <tableColumn id="6" xr3:uid="{937BD392-F287-420A-AE39-C087EC2C4BE6}" uniqueName="6" name="sample_size_videos" queryTableFieldId="6"/>
    <tableColumn id="7" xr3:uid="{9FED07B8-B580-4488-B7B3-A899FFA4E1CE}" uniqueName="7" name="above_threshold_all" queryTableFieldId="7"/>
    <tableColumn id="8" xr3:uid="{F7AFBFF4-F570-4BFE-9469-A21E4F22977C}" uniqueName="8" name="above_threshold_shorts" queryTableFieldId="8"/>
    <tableColumn id="9" xr3:uid="{34754867-93A5-4A90-B9A8-F5695BD3B13A}" uniqueName="9" name="above_threshold_videos" queryTableFieldId="9"/>
    <tableColumn id="10" xr3:uid="{9BE2C9BF-7CC4-4E14-8E2E-FC1BE3B02945}" uniqueName="10" name="below_threshold_all" queryTableFieldId="10"/>
    <tableColumn id="11" xr3:uid="{9CFAE8B3-1BEE-47EA-A158-4149F8268120}" uniqueName="11" name="below_threshold_shorts" queryTableFieldId="11"/>
    <tableColumn id="12" xr3:uid="{1FA8CAD6-C5CC-45DB-BB39-17C8D515B1F4}" uniqueName="12" name="below_threshold_videos" queryTableFieldId="12"/>
    <tableColumn id="13" xr3:uid="{51F0728A-F646-40DC-90D9-388F7B9F49CD}" uniqueName="13" name="pct_above_threshold_all" queryTableFieldId="13"/>
    <tableColumn id="14" xr3:uid="{3DF01128-103B-4DA7-909F-8FB18A592893}" uniqueName="14" name="pct_above_threshold_shorts" queryTableFieldId="14"/>
    <tableColumn id="15" xr3:uid="{071C5540-DA9E-4472-B97C-A5B01E4FFCA1}" uniqueName="15" name="pct_above_threshold_videos" queryTableFieldId="15"/>
    <tableColumn id="16" xr3:uid="{ACE30B98-88DC-45AA-A72F-37D447C2FEA7}" uniqueName="16" name="median_views_all" queryTableFieldId="16"/>
    <tableColumn id="17" xr3:uid="{FAF74EB9-BB00-4F08-A8A9-4916F6B2B680}" uniqueName="17" name="median_views_shorts" queryTableFieldId="17"/>
    <tableColumn id="18" xr3:uid="{3A943BCE-7AB4-4B51-ACD4-5BECF4662EB3}" uniqueName="18" name="median_views_videos" queryTableFieldId="18"/>
    <tableColumn id="19" xr3:uid="{D6D61A26-362F-48DE-B42F-360A8EC42EF7}" uniqueName="19" name="mean_views_all" queryTableFieldId="19"/>
    <tableColumn id="20" xr3:uid="{4923A349-7E08-49CD-AD20-33A149D3822D}" uniqueName="20" name="mean_views_shorts" queryTableFieldId="20"/>
    <tableColumn id="21" xr3:uid="{3474693D-A141-47AD-AAF1-F6D73C9421E9}" uniqueName="21" name="mean_views_videos" queryTableFieldId="21"/>
    <tableColumn id="22" xr3:uid="{14EC2BE0-A007-4A28-B384-29D60D317979}" uniqueName="22" name="min_views_seen_all" queryTableFieldId="22"/>
    <tableColumn id="23" xr3:uid="{A57B911C-8EB2-4212-A015-A437D700E83F}" uniqueName="23" name="min_views_seen_shorts" queryTableFieldId="23"/>
    <tableColumn id="24" xr3:uid="{43482401-E096-4AAC-AB8D-D1FDF6003C15}" uniqueName="24" name="min_views_seen_videos" queryTableFieldId="24"/>
    <tableColumn id="25" xr3:uid="{A0B3D349-8844-469E-8FC5-BDCA5CDF195A}" uniqueName="25" name="max_views_seen_all" queryTableFieldId="25"/>
    <tableColumn id="26" xr3:uid="{5ADFDD9A-95C4-471C-96FA-379912C86FEB}" uniqueName="26" name="max_views_seen_shorts" queryTableFieldId="26"/>
    <tableColumn id="27" xr3:uid="{AE927780-7A9D-488F-831B-C40AF721F6DE}" uniqueName="27" name="max_views_seen_videos" queryTableFieldId="27"/>
    <tableColumn id="28" xr3:uid="{094CA0E8-E8CA-4B50-A887-B4493663BA13}" uniqueName="28" name="total_views_all" queryTableFieldId="28"/>
    <tableColumn id="29" xr3:uid="{8DF81F3E-6C2B-4497-A176-B98D9B8B3269}" uniqueName="29" name="total_views_shorts" queryTableFieldId="29"/>
    <tableColumn id="30" xr3:uid="{0A33F367-EB0C-48C6-8AC8-8EED447E4E40}" uniqueName="30" name="total_views_videos" queryTableFieldId="30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5F4852B-7BCC-47FE-8610-4B57F279E332}" name="Table1_17" displayName="Table1_17" ref="A1:AD198" tableType="queryTable" totalsRowShown="0">
  <autoFilter ref="A1:AD198" xr:uid="{630498B4-AD67-4ACD-AD68-14AE3CF49B20}"/>
  <tableColumns count="30">
    <tableColumn id="1" xr3:uid="{DB9EC6E1-4C34-49AD-A50E-63937A0772D4}" uniqueName="1" name="keyword" queryTableFieldId="1" dataDxfId="2"/>
    <tableColumn id="2" xr3:uid="{4D76C8E0-53E1-46C3-8EDE-2C3522762717}" uniqueName="2" name="category" queryTableFieldId="2" dataDxfId="1"/>
    <tableColumn id="3" xr3:uid="{EA8E016B-835B-4A0B-9506-E1DCAE86A2B6}" uniqueName="3" name="era" queryTableFieldId="3" dataDxfId="0"/>
    <tableColumn id="4" xr3:uid="{A02EC12F-615B-45C3-A6EE-3C41C1079C00}" uniqueName="4" name="sample_size_all" queryTableFieldId="4"/>
    <tableColumn id="5" xr3:uid="{4604E354-F1C0-438B-82F0-FC543C0F0E75}" uniqueName="5" name="sample_size_shorts" queryTableFieldId="5"/>
    <tableColumn id="6" xr3:uid="{415CEDC6-C18D-46F3-ADD8-18E62E7D636D}" uniqueName="6" name="sample_size_videos" queryTableFieldId="6"/>
    <tableColumn id="7" xr3:uid="{D116D8B7-F893-48CE-96E8-D05FE134A0B7}" uniqueName="7" name="above_threshold_all" queryTableFieldId="7"/>
    <tableColumn id="8" xr3:uid="{85801F11-52E5-4451-B407-FEA5DBE4EE66}" uniqueName="8" name="above_threshold_shorts" queryTableFieldId="8"/>
    <tableColumn id="9" xr3:uid="{4D1FEEEA-0F96-43C9-9B6F-C56FAFA1AB49}" uniqueName="9" name="above_threshold_videos" queryTableFieldId="9"/>
    <tableColumn id="10" xr3:uid="{5366CBD5-FE99-45C0-9BB3-857572D9A48C}" uniqueName="10" name="below_threshold_all" queryTableFieldId="10"/>
    <tableColumn id="11" xr3:uid="{F6FB0EB4-C4C1-4D5C-885E-DF9D6809A671}" uniqueName="11" name="below_threshold_shorts" queryTableFieldId="11"/>
    <tableColumn id="12" xr3:uid="{75ACE9A0-ABCA-4A5D-A174-79101EDC1B57}" uniqueName="12" name="below_threshold_videos" queryTableFieldId="12"/>
    <tableColumn id="13" xr3:uid="{F9965877-83A8-40CC-98B5-2E2568F578B5}" uniqueName="13" name="pct_above_threshold_all" queryTableFieldId="13"/>
    <tableColumn id="14" xr3:uid="{4B9551B4-3131-417D-89DC-06811CCDEBCE}" uniqueName="14" name="pct_above_threshold_shorts" queryTableFieldId="14"/>
    <tableColumn id="15" xr3:uid="{D5AFBC25-0855-4040-93D6-C8DDD19083E7}" uniqueName="15" name="pct_above_threshold_videos" queryTableFieldId="15"/>
    <tableColumn id="16" xr3:uid="{BAE5B019-28E4-4BAB-A4DB-97DEB00B338A}" uniqueName="16" name="median_views_all" queryTableFieldId="16"/>
    <tableColumn id="17" xr3:uid="{2E3A4774-D5B5-4104-B1B2-E6E5917A5834}" uniqueName="17" name="median_views_shorts" queryTableFieldId="17"/>
    <tableColumn id="18" xr3:uid="{06D1EFC1-8465-41F2-9D4E-379D93F8854B}" uniqueName="18" name="median_views_videos" queryTableFieldId="18"/>
    <tableColumn id="19" xr3:uid="{A3F8E1D7-C57C-46E8-AA86-DE0F7B5320A5}" uniqueName="19" name="mean_views_all" queryTableFieldId="19"/>
    <tableColumn id="20" xr3:uid="{6FB2CB3A-8D1E-4B30-AFC1-2E1914C269B6}" uniqueName="20" name="mean_views_shorts" queryTableFieldId="20"/>
    <tableColumn id="21" xr3:uid="{CFDDD565-BF6E-4E13-92ED-EDBC13802920}" uniqueName="21" name="mean_views_videos" queryTableFieldId="21"/>
    <tableColumn id="22" xr3:uid="{3546D6AE-BFAF-4554-B640-F1B9477A2798}" uniqueName="22" name="min_views_seen_all" queryTableFieldId="22"/>
    <tableColumn id="23" xr3:uid="{4328D477-302B-4853-A275-0757CF05C8BF}" uniqueName="23" name="min_views_seen_shorts" queryTableFieldId="23"/>
    <tableColumn id="24" xr3:uid="{FAB84104-62F7-47F2-8068-3B60C7D5E27D}" uniqueName="24" name="min_views_seen_videos" queryTableFieldId="24"/>
    <tableColumn id="25" xr3:uid="{C5BD01BF-06E1-4D44-B652-E307EEDD0A13}" uniqueName="25" name="max_views_seen_all" queryTableFieldId="25"/>
    <tableColumn id="26" xr3:uid="{C8BA59F6-0B67-4FE1-9CE5-18BD74094834}" uniqueName="26" name="max_views_seen_shorts" queryTableFieldId="26"/>
    <tableColumn id="27" xr3:uid="{522C0130-A78C-4844-A62C-22E24259F470}" uniqueName="27" name="max_views_seen_videos" queryTableFieldId="27"/>
    <tableColumn id="28" xr3:uid="{495E2727-6281-4D0D-B087-C10800D1C550}" uniqueName="28" name="total_views_all" queryTableFieldId="28"/>
    <tableColumn id="29" xr3:uid="{1D17AD6A-297F-4F25-9374-1E6AD88FDC71}" uniqueName="29" name="total_views_shorts" queryTableFieldId="29"/>
    <tableColumn id="30" xr3:uid="{7BDE3537-7508-44C7-B590-F54F89AE8B3F}" uniqueName="30" name="total_views_videos" queryTableFieldId="3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5C4946-AC22-4871-BE36-B28B860B5382}">
  <dimension ref="A1:I109"/>
  <sheetViews>
    <sheetView workbookViewId="0"/>
  </sheetViews>
  <sheetFormatPr defaultRowHeight="14.4" x14ac:dyDescent="0.3"/>
  <cols>
    <col min="1" max="1" width="42.109375" bestFit="1" customWidth="1"/>
    <col min="2" max="2" width="13.77734375" bestFit="1" customWidth="1"/>
    <col min="3" max="3" width="14.33203125" bestFit="1" customWidth="1"/>
    <col min="4" max="4" width="11.77734375" bestFit="1" customWidth="1"/>
    <col min="5" max="5" width="11" bestFit="1" customWidth="1"/>
    <col min="6" max="6" width="9.33203125" bestFit="1" customWidth="1"/>
    <col min="7" max="7" width="19.109375" bestFit="1" customWidth="1"/>
    <col min="8" max="8" width="17.21875" bestFit="1" customWidth="1"/>
    <col min="9" max="9" width="24.6640625" bestFit="1" customWidth="1"/>
  </cols>
  <sheetData>
    <row r="1" spans="1:9" x14ac:dyDescent="0.3">
      <c r="A1" t="s">
        <v>123</v>
      </c>
      <c r="B1" t="s">
        <v>122</v>
      </c>
      <c r="C1" t="s">
        <v>121</v>
      </c>
      <c r="D1" t="s">
        <v>120</v>
      </c>
      <c r="E1" t="s">
        <v>119</v>
      </c>
      <c r="F1" t="s">
        <v>118</v>
      </c>
      <c r="G1" t="s">
        <v>117</v>
      </c>
      <c r="H1" t="s">
        <v>116</v>
      </c>
      <c r="I1" t="s">
        <v>115</v>
      </c>
    </row>
    <row r="2" spans="1:9" x14ac:dyDescent="0.3">
      <c r="A2" t="s">
        <v>226</v>
      </c>
      <c r="B2" t="s">
        <v>196</v>
      </c>
      <c r="C2">
        <v>0</v>
      </c>
      <c r="D2">
        <v>0</v>
      </c>
      <c r="E2">
        <v>1</v>
      </c>
      <c r="F2">
        <v>0</v>
      </c>
      <c r="G2">
        <v>0</v>
      </c>
      <c r="H2">
        <v>0</v>
      </c>
      <c r="I2">
        <v>1</v>
      </c>
    </row>
    <row r="3" spans="1:9" x14ac:dyDescent="0.3">
      <c r="A3" t="s">
        <v>225</v>
      </c>
      <c r="B3" t="s">
        <v>196</v>
      </c>
      <c r="C3">
        <v>0</v>
      </c>
      <c r="D3">
        <v>0</v>
      </c>
      <c r="E3">
        <v>1</v>
      </c>
      <c r="F3">
        <v>0</v>
      </c>
      <c r="G3">
        <v>0</v>
      </c>
      <c r="H3">
        <v>0</v>
      </c>
      <c r="I3">
        <v>1</v>
      </c>
    </row>
    <row r="4" spans="1:9" x14ac:dyDescent="0.3">
      <c r="A4" t="s">
        <v>224</v>
      </c>
      <c r="B4" t="s">
        <v>196</v>
      </c>
      <c r="C4">
        <v>0</v>
      </c>
      <c r="D4">
        <v>0</v>
      </c>
      <c r="E4">
        <v>1</v>
      </c>
      <c r="F4">
        <v>0</v>
      </c>
      <c r="G4">
        <v>0</v>
      </c>
      <c r="H4">
        <v>0</v>
      </c>
      <c r="I4">
        <v>1</v>
      </c>
    </row>
    <row r="5" spans="1:9" x14ac:dyDescent="0.3">
      <c r="A5" t="s">
        <v>223</v>
      </c>
      <c r="B5" t="s">
        <v>196</v>
      </c>
      <c r="C5">
        <v>0</v>
      </c>
      <c r="D5">
        <v>0</v>
      </c>
      <c r="E5">
        <v>1</v>
      </c>
      <c r="F5">
        <v>0</v>
      </c>
      <c r="G5">
        <v>0</v>
      </c>
      <c r="H5">
        <v>0</v>
      </c>
      <c r="I5">
        <v>1</v>
      </c>
    </row>
    <row r="6" spans="1:9" x14ac:dyDescent="0.3">
      <c r="A6" t="s">
        <v>222</v>
      </c>
      <c r="B6" t="s">
        <v>196</v>
      </c>
      <c r="C6">
        <v>0</v>
      </c>
      <c r="D6">
        <v>0</v>
      </c>
      <c r="E6">
        <v>1</v>
      </c>
      <c r="F6">
        <v>0</v>
      </c>
      <c r="G6">
        <v>0</v>
      </c>
      <c r="H6">
        <v>0</v>
      </c>
      <c r="I6">
        <v>1</v>
      </c>
    </row>
    <row r="7" spans="1:9" x14ac:dyDescent="0.3">
      <c r="A7" t="s">
        <v>221</v>
      </c>
      <c r="B7" t="s">
        <v>196</v>
      </c>
      <c r="C7">
        <v>0</v>
      </c>
      <c r="D7">
        <v>0</v>
      </c>
      <c r="E7">
        <v>1</v>
      </c>
      <c r="F7">
        <v>0</v>
      </c>
      <c r="G7">
        <v>0</v>
      </c>
      <c r="H7">
        <v>0</v>
      </c>
      <c r="I7">
        <v>1</v>
      </c>
    </row>
    <row r="8" spans="1:9" x14ac:dyDescent="0.3">
      <c r="A8" t="s">
        <v>220</v>
      </c>
      <c r="B8" t="s">
        <v>196</v>
      </c>
      <c r="C8">
        <v>0</v>
      </c>
      <c r="D8">
        <v>0</v>
      </c>
      <c r="E8">
        <v>1</v>
      </c>
      <c r="F8">
        <v>0</v>
      </c>
      <c r="G8">
        <v>0</v>
      </c>
      <c r="H8">
        <v>0</v>
      </c>
      <c r="I8">
        <v>1</v>
      </c>
    </row>
    <row r="9" spans="1:9" x14ac:dyDescent="0.3">
      <c r="A9" t="s">
        <v>219</v>
      </c>
      <c r="B9" t="s">
        <v>196</v>
      </c>
      <c r="C9">
        <v>0</v>
      </c>
      <c r="D9">
        <v>0</v>
      </c>
      <c r="E9">
        <v>1</v>
      </c>
      <c r="F9">
        <v>0</v>
      </c>
      <c r="G9">
        <v>0</v>
      </c>
      <c r="H9">
        <v>0</v>
      </c>
      <c r="I9">
        <v>1</v>
      </c>
    </row>
    <row r="10" spans="1:9" x14ac:dyDescent="0.3">
      <c r="A10" t="s">
        <v>218</v>
      </c>
      <c r="B10" t="s">
        <v>196</v>
      </c>
      <c r="C10">
        <v>0</v>
      </c>
      <c r="D10">
        <v>0</v>
      </c>
      <c r="E10">
        <v>1</v>
      </c>
      <c r="F10">
        <v>0</v>
      </c>
      <c r="G10">
        <v>0</v>
      </c>
      <c r="H10">
        <v>0</v>
      </c>
      <c r="I10">
        <v>1</v>
      </c>
    </row>
    <row r="11" spans="1:9" x14ac:dyDescent="0.3">
      <c r="A11" t="s">
        <v>217</v>
      </c>
      <c r="B11" t="s">
        <v>196</v>
      </c>
      <c r="C11">
        <v>0</v>
      </c>
      <c r="D11">
        <v>0</v>
      </c>
      <c r="E11">
        <v>1</v>
      </c>
      <c r="F11">
        <v>0</v>
      </c>
      <c r="G11">
        <v>0</v>
      </c>
      <c r="H11">
        <v>0</v>
      </c>
      <c r="I11">
        <v>1</v>
      </c>
    </row>
    <row r="12" spans="1:9" x14ac:dyDescent="0.3">
      <c r="A12" t="s">
        <v>216</v>
      </c>
      <c r="B12" t="s">
        <v>196</v>
      </c>
      <c r="C12">
        <v>0</v>
      </c>
      <c r="D12">
        <v>0</v>
      </c>
      <c r="E12">
        <v>1</v>
      </c>
      <c r="F12">
        <v>0</v>
      </c>
      <c r="G12">
        <v>0</v>
      </c>
      <c r="H12">
        <v>0</v>
      </c>
      <c r="I12">
        <v>1</v>
      </c>
    </row>
    <row r="13" spans="1:9" x14ac:dyDescent="0.3">
      <c r="A13" t="s">
        <v>215</v>
      </c>
      <c r="B13" t="s">
        <v>196</v>
      </c>
      <c r="C13">
        <v>0</v>
      </c>
      <c r="D13">
        <v>0</v>
      </c>
      <c r="E13">
        <v>1</v>
      </c>
      <c r="F13">
        <v>0</v>
      </c>
      <c r="G13">
        <v>0</v>
      </c>
      <c r="H13">
        <v>0</v>
      </c>
      <c r="I13">
        <v>1</v>
      </c>
    </row>
    <row r="14" spans="1:9" x14ac:dyDescent="0.3">
      <c r="A14" t="s">
        <v>214</v>
      </c>
      <c r="B14" t="s">
        <v>196</v>
      </c>
      <c r="C14">
        <v>0</v>
      </c>
      <c r="D14">
        <v>0</v>
      </c>
      <c r="E14">
        <v>1</v>
      </c>
      <c r="F14">
        <v>0</v>
      </c>
      <c r="G14">
        <v>0</v>
      </c>
      <c r="H14">
        <v>0</v>
      </c>
      <c r="I14">
        <v>1</v>
      </c>
    </row>
    <row r="15" spans="1:9" x14ac:dyDescent="0.3">
      <c r="A15" t="s">
        <v>213</v>
      </c>
      <c r="B15" t="s">
        <v>196</v>
      </c>
      <c r="C15">
        <v>0</v>
      </c>
      <c r="D15">
        <v>0</v>
      </c>
      <c r="E15">
        <v>1</v>
      </c>
      <c r="F15">
        <v>0</v>
      </c>
      <c r="G15">
        <v>0</v>
      </c>
      <c r="H15">
        <v>0</v>
      </c>
      <c r="I15">
        <v>1</v>
      </c>
    </row>
    <row r="16" spans="1:9" x14ac:dyDescent="0.3">
      <c r="A16" t="s">
        <v>212</v>
      </c>
      <c r="B16" t="s">
        <v>196</v>
      </c>
      <c r="C16">
        <v>0</v>
      </c>
      <c r="D16">
        <v>0</v>
      </c>
      <c r="E16">
        <v>1</v>
      </c>
      <c r="F16">
        <v>0</v>
      </c>
      <c r="G16">
        <v>0</v>
      </c>
      <c r="H16">
        <v>0</v>
      </c>
      <c r="I16">
        <v>1</v>
      </c>
    </row>
    <row r="17" spans="1:9" x14ac:dyDescent="0.3">
      <c r="A17" t="s">
        <v>211</v>
      </c>
      <c r="B17" t="s">
        <v>196</v>
      </c>
      <c r="C17">
        <v>0</v>
      </c>
      <c r="D17">
        <v>0</v>
      </c>
      <c r="E17">
        <v>1</v>
      </c>
      <c r="F17">
        <v>0</v>
      </c>
      <c r="G17">
        <v>0</v>
      </c>
      <c r="H17">
        <v>0</v>
      </c>
      <c r="I17">
        <v>1</v>
      </c>
    </row>
    <row r="18" spans="1:9" x14ac:dyDescent="0.3">
      <c r="A18" t="s">
        <v>210</v>
      </c>
      <c r="B18" t="s">
        <v>196</v>
      </c>
      <c r="C18">
        <v>0</v>
      </c>
      <c r="D18">
        <v>0</v>
      </c>
      <c r="E18">
        <v>1</v>
      </c>
      <c r="F18">
        <v>0</v>
      </c>
      <c r="G18">
        <v>0</v>
      </c>
      <c r="H18">
        <v>0</v>
      </c>
      <c r="I18">
        <v>1</v>
      </c>
    </row>
    <row r="19" spans="1:9" x14ac:dyDescent="0.3">
      <c r="A19" t="s">
        <v>209</v>
      </c>
      <c r="B19" t="s">
        <v>196</v>
      </c>
      <c r="C19">
        <v>0</v>
      </c>
      <c r="D19">
        <v>0</v>
      </c>
      <c r="E19">
        <v>1</v>
      </c>
      <c r="F19">
        <v>0</v>
      </c>
      <c r="G19">
        <v>0</v>
      </c>
      <c r="H19">
        <v>0</v>
      </c>
      <c r="I19">
        <v>1</v>
      </c>
    </row>
    <row r="20" spans="1:9" x14ac:dyDescent="0.3">
      <c r="A20" t="s">
        <v>208</v>
      </c>
      <c r="B20" t="s">
        <v>196</v>
      </c>
      <c r="C20">
        <v>0</v>
      </c>
      <c r="D20">
        <v>0</v>
      </c>
      <c r="E20">
        <v>1</v>
      </c>
      <c r="F20">
        <v>0</v>
      </c>
      <c r="G20">
        <v>0</v>
      </c>
      <c r="H20">
        <v>0</v>
      </c>
      <c r="I20">
        <v>1</v>
      </c>
    </row>
    <row r="21" spans="1:9" x14ac:dyDescent="0.3">
      <c r="A21" t="s">
        <v>207</v>
      </c>
      <c r="B21" t="s">
        <v>196</v>
      </c>
      <c r="C21">
        <v>0</v>
      </c>
      <c r="D21">
        <v>0</v>
      </c>
      <c r="E21">
        <v>1</v>
      </c>
      <c r="F21">
        <v>0</v>
      </c>
      <c r="G21">
        <v>0</v>
      </c>
      <c r="H21">
        <v>0</v>
      </c>
      <c r="I21">
        <v>1</v>
      </c>
    </row>
    <row r="22" spans="1:9" x14ac:dyDescent="0.3">
      <c r="A22" t="s">
        <v>206</v>
      </c>
      <c r="B22" t="s">
        <v>196</v>
      </c>
      <c r="C22">
        <v>0</v>
      </c>
      <c r="D22">
        <v>0</v>
      </c>
      <c r="E22">
        <v>1</v>
      </c>
      <c r="F22">
        <v>0</v>
      </c>
      <c r="G22">
        <v>0</v>
      </c>
      <c r="H22">
        <v>0</v>
      </c>
      <c r="I22">
        <v>1</v>
      </c>
    </row>
    <row r="23" spans="1:9" x14ac:dyDescent="0.3">
      <c r="A23" t="s">
        <v>205</v>
      </c>
      <c r="B23" t="s">
        <v>196</v>
      </c>
      <c r="C23">
        <v>0</v>
      </c>
      <c r="D23">
        <v>0</v>
      </c>
      <c r="E23">
        <v>1</v>
      </c>
      <c r="F23">
        <v>0</v>
      </c>
      <c r="G23">
        <v>0</v>
      </c>
      <c r="H23">
        <v>0</v>
      </c>
      <c r="I23">
        <v>1</v>
      </c>
    </row>
    <row r="24" spans="1:9" x14ac:dyDescent="0.3">
      <c r="A24" t="s">
        <v>204</v>
      </c>
      <c r="B24" t="s">
        <v>196</v>
      </c>
      <c r="C24">
        <v>0</v>
      </c>
      <c r="D24">
        <v>0</v>
      </c>
      <c r="E24">
        <v>1</v>
      </c>
      <c r="F24">
        <v>0</v>
      </c>
      <c r="G24">
        <v>0</v>
      </c>
      <c r="H24">
        <v>0</v>
      </c>
      <c r="I24">
        <v>1</v>
      </c>
    </row>
    <row r="25" spans="1:9" x14ac:dyDescent="0.3">
      <c r="A25" t="s">
        <v>203</v>
      </c>
      <c r="B25" t="s">
        <v>196</v>
      </c>
      <c r="C25">
        <v>0</v>
      </c>
      <c r="D25">
        <v>0</v>
      </c>
      <c r="E25">
        <v>1</v>
      </c>
      <c r="F25">
        <v>0</v>
      </c>
      <c r="G25">
        <v>0</v>
      </c>
      <c r="H25">
        <v>0</v>
      </c>
      <c r="I25">
        <v>1</v>
      </c>
    </row>
    <row r="26" spans="1:9" x14ac:dyDescent="0.3">
      <c r="A26" t="s">
        <v>202</v>
      </c>
      <c r="B26" t="s">
        <v>196</v>
      </c>
      <c r="C26">
        <v>0</v>
      </c>
      <c r="D26">
        <v>0</v>
      </c>
      <c r="E26">
        <v>1</v>
      </c>
      <c r="F26">
        <v>0</v>
      </c>
      <c r="G26">
        <v>0</v>
      </c>
      <c r="H26">
        <v>0</v>
      </c>
      <c r="I26">
        <v>1</v>
      </c>
    </row>
    <row r="27" spans="1:9" x14ac:dyDescent="0.3">
      <c r="A27" t="s">
        <v>201</v>
      </c>
      <c r="B27" t="s">
        <v>196</v>
      </c>
      <c r="C27">
        <v>0</v>
      </c>
      <c r="D27">
        <v>0</v>
      </c>
      <c r="E27">
        <v>1</v>
      </c>
      <c r="F27">
        <v>0</v>
      </c>
      <c r="G27">
        <v>0</v>
      </c>
      <c r="H27">
        <v>0</v>
      </c>
      <c r="I27">
        <v>1</v>
      </c>
    </row>
    <row r="28" spans="1:9" x14ac:dyDescent="0.3">
      <c r="A28" t="s">
        <v>200</v>
      </c>
      <c r="B28" t="s">
        <v>196</v>
      </c>
      <c r="C28">
        <v>0</v>
      </c>
      <c r="D28">
        <v>0</v>
      </c>
      <c r="E28">
        <v>1</v>
      </c>
      <c r="F28">
        <v>0</v>
      </c>
      <c r="G28">
        <v>0</v>
      </c>
      <c r="H28">
        <v>0</v>
      </c>
      <c r="I28">
        <v>1</v>
      </c>
    </row>
    <row r="29" spans="1:9" x14ac:dyDescent="0.3">
      <c r="A29" t="s">
        <v>199</v>
      </c>
      <c r="B29" t="s">
        <v>196</v>
      </c>
      <c r="C29">
        <v>0</v>
      </c>
      <c r="D29">
        <v>0</v>
      </c>
      <c r="E29">
        <v>1</v>
      </c>
      <c r="F29">
        <v>0</v>
      </c>
      <c r="G29">
        <v>0</v>
      </c>
      <c r="H29">
        <v>0</v>
      </c>
      <c r="I29">
        <v>1</v>
      </c>
    </row>
    <row r="30" spans="1:9" x14ac:dyDescent="0.3">
      <c r="A30" t="s">
        <v>198</v>
      </c>
      <c r="B30" t="s">
        <v>196</v>
      </c>
      <c r="C30">
        <v>0</v>
      </c>
      <c r="D30">
        <v>0</v>
      </c>
      <c r="E30">
        <v>1</v>
      </c>
      <c r="F30">
        <v>0</v>
      </c>
      <c r="G30">
        <v>0</v>
      </c>
      <c r="H30">
        <v>0</v>
      </c>
      <c r="I30">
        <v>1</v>
      </c>
    </row>
    <row r="31" spans="1:9" x14ac:dyDescent="0.3">
      <c r="A31" t="s">
        <v>197</v>
      </c>
      <c r="B31" t="s">
        <v>196</v>
      </c>
      <c r="C31">
        <v>0</v>
      </c>
      <c r="D31">
        <v>0</v>
      </c>
      <c r="E31">
        <v>1</v>
      </c>
      <c r="F31">
        <v>0</v>
      </c>
      <c r="G31">
        <v>0</v>
      </c>
      <c r="H31">
        <v>0</v>
      </c>
      <c r="I31">
        <v>1</v>
      </c>
    </row>
    <row r="32" spans="1:9" x14ac:dyDescent="0.3">
      <c r="A32" t="s">
        <v>195</v>
      </c>
      <c r="B32" t="s">
        <v>176</v>
      </c>
      <c r="C32">
        <v>0</v>
      </c>
      <c r="D32">
        <v>0</v>
      </c>
      <c r="E32">
        <v>0</v>
      </c>
      <c r="F32">
        <v>1</v>
      </c>
      <c r="G32">
        <v>0</v>
      </c>
      <c r="H32">
        <v>1</v>
      </c>
      <c r="I32">
        <v>1</v>
      </c>
    </row>
    <row r="33" spans="1:9" x14ac:dyDescent="0.3">
      <c r="A33" t="s">
        <v>194</v>
      </c>
      <c r="B33" t="s">
        <v>176</v>
      </c>
      <c r="C33">
        <v>0</v>
      </c>
      <c r="D33">
        <v>0</v>
      </c>
      <c r="E33">
        <v>0</v>
      </c>
      <c r="F33">
        <v>1</v>
      </c>
      <c r="G33">
        <v>0</v>
      </c>
      <c r="H33">
        <v>1</v>
      </c>
      <c r="I33">
        <v>1</v>
      </c>
    </row>
    <row r="34" spans="1:9" x14ac:dyDescent="0.3">
      <c r="A34" t="s">
        <v>193</v>
      </c>
      <c r="B34" t="s">
        <v>176</v>
      </c>
      <c r="C34">
        <v>0</v>
      </c>
      <c r="D34">
        <v>0</v>
      </c>
      <c r="E34">
        <v>0</v>
      </c>
      <c r="F34">
        <v>1</v>
      </c>
      <c r="G34">
        <v>0</v>
      </c>
      <c r="H34">
        <v>1</v>
      </c>
      <c r="I34">
        <v>1</v>
      </c>
    </row>
    <row r="35" spans="1:9" x14ac:dyDescent="0.3">
      <c r="A35" t="s">
        <v>192</v>
      </c>
      <c r="B35" t="s">
        <v>176</v>
      </c>
      <c r="C35">
        <v>0</v>
      </c>
      <c r="D35">
        <v>0</v>
      </c>
      <c r="E35">
        <v>0</v>
      </c>
      <c r="F35">
        <v>1</v>
      </c>
      <c r="G35">
        <v>0</v>
      </c>
      <c r="H35">
        <v>1</v>
      </c>
      <c r="I35">
        <v>1</v>
      </c>
    </row>
    <row r="36" spans="1:9" x14ac:dyDescent="0.3">
      <c r="A36" t="s">
        <v>191</v>
      </c>
      <c r="B36" t="s">
        <v>176</v>
      </c>
      <c r="C36">
        <v>0</v>
      </c>
      <c r="D36">
        <v>0</v>
      </c>
      <c r="E36">
        <v>0</v>
      </c>
      <c r="F36">
        <v>1</v>
      </c>
      <c r="G36">
        <v>0</v>
      </c>
      <c r="H36">
        <v>1</v>
      </c>
      <c r="I36">
        <v>1</v>
      </c>
    </row>
    <row r="37" spans="1:9" x14ac:dyDescent="0.3">
      <c r="A37" t="s">
        <v>190</v>
      </c>
      <c r="B37" t="s">
        <v>176</v>
      </c>
      <c r="C37">
        <v>0</v>
      </c>
      <c r="D37">
        <v>0</v>
      </c>
      <c r="E37">
        <v>0</v>
      </c>
      <c r="F37">
        <v>1</v>
      </c>
      <c r="G37">
        <v>0</v>
      </c>
      <c r="H37">
        <v>1</v>
      </c>
      <c r="I37">
        <v>1</v>
      </c>
    </row>
    <row r="38" spans="1:9" x14ac:dyDescent="0.3">
      <c r="A38" t="s">
        <v>189</v>
      </c>
      <c r="B38" t="s">
        <v>176</v>
      </c>
      <c r="C38">
        <v>0</v>
      </c>
      <c r="D38">
        <v>0</v>
      </c>
      <c r="E38">
        <v>0</v>
      </c>
      <c r="F38">
        <v>1</v>
      </c>
      <c r="G38">
        <v>0</v>
      </c>
      <c r="H38">
        <v>1</v>
      </c>
      <c r="I38">
        <v>1</v>
      </c>
    </row>
    <row r="39" spans="1:9" x14ac:dyDescent="0.3">
      <c r="A39" t="s">
        <v>188</v>
      </c>
      <c r="B39" t="s">
        <v>176</v>
      </c>
      <c r="C39">
        <v>0</v>
      </c>
      <c r="D39">
        <v>0</v>
      </c>
      <c r="E39">
        <v>0</v>
      </c>
      <c r="F39">
        <v>1</v>
      </c>
      <c r="G39">
        <v>0</v>
      </c>
      <c r="H39">
        <v>1</v>
      </c>
      <c r="I39">
        <v>1</v>
      </c>
    </row>
    <row r="40" spans="1:9" x14ac:dyDescent="0.3">
      <c r="A40" t="s">
        <v>187</v>
      </c>
      <c r="B40" t="s">
        <v>176</v>
      </c>
      <c r="C40">
        <v>0</v>
      </c>
      <c r="D40">
        <v>0</v>
      </c>
      <c r="E40">
        <v>0</v>
      </c>
      <c r="F40">
        <v>1</v>
      </c>
      <c r="G40">
        <v>0</v>
      </c>
      <c r="H40">
        <v>1</v>
      </c>
      <c r="I40">
        <v>1</v>
      </c>
    </row>
    <row r="41" spans="1:9" x14ac:dyDescent="0.3">
      <c r="A41" t="s">
        <v>186</v>
      </c>
      <c r="B41" t="s">
        <v>176</v>
      </c>
      <c r="C41">
        <v>0</v>
      </c>
      <c r="D41">
        <v>0</v>
      </c>
      <c r="E41">
        <v>0</v>
      </c>
      <c r="F41">
        <v>1</v>
      </c>
      <c r="G41">
        <v>0</v>
      </c>
      <c r="H41">
        <v>1</v>
      </c>
      <c r="I41">
        <v>1</v>
      </c>
    </row>
    <row r="42" spans="1:9" x14ac:dyDescent="0.3">
      <c r="A42" t="s">
        <v>185</v>
      </c>
      <c r="B42" t="s">
        <v>176</v>
      </c>
      <c r="C42">
        <v>0</v>
      </c>
      <c r="D42">
        <v>0</v>
      </c>
      <c r="E42">
        <v>0</v>
      </c>
      <c r="F42">
        <v>1</v>
      </c>
      <c r="G42">
        <v>0</v>
      </c>
      <c r="H42">
        <v>1</v>
      </c>
      <c r="I42">
        <v>1</v>
      </c>
    </row>
    <row r="43" spans="1:9" x14ac:dyDescent="0.3">
      <c r="A43" t="s">
        <v>184</v>
      </c>
      <c r="B43" t="s">
        <v>176</v>
      </c>
      <c r="C43">
        <v>0</v>
      </c>
      <c r="D43">
        <v>0</v>
      </c>
      <c r="E43">
        <v>0</v>
      </c>
      <c r="F43">
        <v>1</v>
      </c>
      <c r="G43">
        <v>0</v>
      </c>
      <c r="H43">
        <v>1</v>
      </c>
      <c r="I43">
        <v>1</v>
      </c>
    </row>
    <row r="44" spans="1:9" x14ac:dyDescent="0.3">
      <c r="A44" t="s">
        <v>183</v>
      </c>
      <c r="B44" t="s">
        <v>176</v>
      </c>
      <c r="C44">
        <v>0</v>
      </c>
      <c r="D44">
        <v>0</v>
      </c>
      <c r="E44">
        <v>0</v>
      </c>
      <c r="F44">
        <v>1</v>
      </c>
      <c r="G44">
        <v>0</v>
      </c>
      <c r="H44">
        <v>1</v>
      </c>
      <c r="I44">
        <v>1</v>
      </c>
    </row>
    <row r="45" spans="1:9" x14ac:dyDescent="0.3">
      <c r="A45" t="s">
        <v>182</v>
      </c>
      <c r="B45" t="s">
        <v>176</v>
      </c>
      <c r="C45">
        <v>0</v>
      </c>
      <c r="D45">
        <v>0</v>
      </c>
      <c r="E45">
        <v>0</v>
      </c>
      <c r="F45">
        <v>1</v>
      </c>
      <c r="G45">
        <v>0</v>
      </c>
      <c r="H45">
        <v>1</v>
      </c>
      <c r="I45">
        <v>1</v>
      </c>
    </row>
    <row r="46" spans="1:9" x14ac:dyDescent="0.3">
      <c r="A46" t="s">
        <v>181</v>
      </c>
      <c r="B46" t="s">
        <v>176</v>
      </c>
      <c r="C46">
        <v>0</v>
      </c>
      <c r="D46">
        <v>0</v>
      </c>
      <c r="E46">
        <v>0</v>
      </c>
      <c r="F46">
        <v>1</v>
      </c>
      <c r="G46">
        <v>0</v>
      </c>
      <c r="H46">
        <v>1</v>
      </c>
      <c r="I46">
        <v>1</v>
      </c>
    </row>
    <row r="47" spans="1:9" x14ac:dyDescent="0.3">
      <c r="A47" t="s">
        <v>180</v>
      </c>
      <c r="B47" t="s">
        <v>176</v>
      </c>
      <c r="C47">
        <v>0</v>
      </c>
      <c r="D47">
        <v>0</v>
      </c>
      <c r="E47">
        <v>0</v>
      </c>
      <c r="F47">
        <v>1</v>
      </c>
      <c r="G47">
        <v>0</v>
      </c>
      <c r="H47">
        <v>1</v>
      </c>
      <c r="I47">
        <v>1</v>
      </c>
    </row>
    <row r="48" spans="1:9" x14ac:dyDescent="0.3">
      <c r="A48" t="s">
        <v>179</v>
      </c>
      <c r="B48" t="s">
        <v>176</v>
      </c>
      <c r="C48">
        <v>0</v>
      </c>
      <c r="D48">
        <v>0</v>
      </c>
      <c r="E48">
        <v>0</v>
      </c>
      <c r="F48">
        <v>1</v>
      </c>
      <c r="G48">
        <v>0</v>
      </c>
      <c r="H48">
        <v>1</v>
      </c>
      <c r="I48">
        <v>1</v>
      </c>
    </row>
    <row r="49" spans="1:9" x14ac:dyDescent="0.3">
      <c r="A49" t="s">
        <v>178</v>
      </c>
      <c r="B49" t="s">
        <v>176</v>
      </c>
      <c r="C49">
        <v>0</v>
      </c>
      <c r="D49">
        <v>0</v>
      </c>
      <c r="E49">
        <v>0</v>
      </c>
      <c r="F49">
        <v>1</v>
      </c>
      <c r="G49">
        <v>0</v>
      </c>
      <c r="H49">
        <v>1</v>
      </c>
      <c r="I49">
        <v>1</v>
      </c>
    </row>
    <row r="50" spans="1:9" x14ac:dyDescent="0.3">
      <c r="A50" t="s">
        <v>177</v>
      </c>
      <c r="B50" t="s">
        <v>176</v>
      </c>
      <c r="C50">
        <v>0</v>
      </c>
      <c r="D50">
        <v>0</v>
      </c>
      <c r="E50">
        <v>0</v>
      </c>
      <c r="F50">
        <v>1</v>
      </c>
      <c r="G50">
        <v>0</v>
      </c>
      <c r="H50">
        <v>1</v>
      </c>
      <c r="I50">
        <v>1</v>
      </c>
    </row>
    <row r="51" spans="1:9" x14ac:dyDescent="0.3">
      <c r="A51" t="s">
        <v>175</v>
      </c>
      <c r="B51" t="s">
        <v>142</v>
      </c>
      <c r="C51">
        <v>0</v>
      </c>
      <c r="D51">
        <v>1</v>
      </c>
      <c r="E51">
        <v>0</v>
      </c>
      <c r="F51">
        <v>0</v>
      </c>
      <c r="G51">
        <v>0</v>
      </c>
      <c r="H51">
        <v>0</v>
      </c>
      <c r="I51">
        <v>0</v>
      </c>
    </row>
    <row r="52" spans="1:9" x14ac:dyDescent="0.3">
      <c r="A52" t="s">
        <v>174</v>
      </c>
      <c r="B52" t="s">
        <v>142</v>
      </c>
      <c r="C52">
        <v>0</v>
      </c>
      <c r="D52">
        <v>1</v>
      </c>
      <c r="E52">
        <v>0</v>
      </c>
      <c r="F52">
        <v>0</v>
      </c>
      <c r="G52">
        <v>0</v>
      </c>
      <c r="H52">
        <v>0</v>
      </c>
      <c r="I52">
        <v>0</v>
      </c>
    </row>
    <row r="53" spans="1:9" x14ac:dyDescent="0.3">
      <c r="A53" t="s">
        <v>173</v>
      </c>
      <c r="B53" t="s">
        <v>142</v>
      </c>
      <c r="C53">
        <v>0</v>
      </c>
      <c r="D53">
        <v>1</v>
      </c>
      <c r="E53">
        <v>0</v>
      </c>
      <c r="F53">
        <v>0</v>
      </c>
      <c r="G53">
        <v>0</v>
      </c>
      <c r="H53">
        <v>0</v>
      </c>
      <c r="I53">
        <v>0</v>
      </c>
    </row>
    <row r="54" spans="1:9" x14ac:dyDescent="0.3">
      <c r="A54" t="s">
        <v>172</v>
      </c>
      <c r="B54" t="s">
        <v>142</v>
      </c>
      <c r="C54">
        <v>0</v>
      </c>
      <c r="D54">
        <v>1</v>
      </c>
      <c r="E54">
        <v>0</v>
      </c>
      <c r="F54">
        <v>0</v>
      </c>
      <c r="G54">
        <v>0</v>
      </c>
      <c r="H54">
        <v>0</v>
      </c>
      <c r="I54">
        <v>0</v>
      </c>
    </row>
    <row r="55" spans="1:9" x14ac:dyDescent="0.3">
      <c r="A55" t="s">
        <v>171</v>
      </c>
      <c r="B55" t="s">
        <v>142</v>
      </c>
      <c r="C55">
        <v>0</v>
      </c>
      <c r="D55">
        <v>1</v>
      </c>
      <c r="E55">
        <v>0</v>
      </c>
      <c r="F55">
        <v>0</v>
      </c>
      <c r="G55">
        <v>0</v>
      </c>
      <c r="H55">
        <v>0</v>
      </c>
      <c r="I55">
        <v>0</v>
      </c>
    </row>
    <row r="56" spans="1:9" x14ac:dyDescent="0.3">
      <c r="A56" t="s">
        <v>170</v>
      </c>
      <c r="B56" t="s">
        <v>142</v>
      </c>
      <c r="C56">
        <v>0</v>
      </c>
      <c r="D56">
        <v>1</v>
      </c>
      <c r="E56">
        <v>0</v>
      </c>
      <c r="F56">
        <v>0</v>
      </c>
      <c r="G56">
        <v>0</v>
      </c>
      <c r="H56">
        <v>0</v>
      </c>
      <c r="I56">
        <v>0</v>
      </c>
    </row>
    <row r="57" spans="1:9" x14ac:dyDescent="0.3">
      <c r="A57" t="s">
        <v>169</v>
      </c>
      <c r="B57" t="s">
        <v>142</v>
      </c>
      <c r="C57">
        <v>0</v>
      </c>
      <c r="D57">
        <v>1</v>
      </c>
      <c r="E57">
        <v>0</v>
      </c>
      <c r="F57">
        <v>0</v>
      </c>
      <c r="G57">
        <v>0</v>
      </c>
      <c r="H57">
        <v>0</v>
      </c>
      <c r="I57">
        <v>0</v>
      </c>
    </row>
    <row r="58" spans="1:9" x14ac:dyDescent="0.3">
      <c r="A58" t="s">
        <v>168</v>
      </c>
      <c r="B58" t="s">
        <v>142</v>
      </c>
      <c r="C58">
        <v>0</v>
      </c>
      <c r="D58">
        <v>1</v>
      </c>
      <c r="E58">
        <v>0</v>
      </c>
      <c r="F58">
        <v>0</v>
      </c>
      <c r="G58">
        <v>0</v>
      </c>
      <c r="H58">
        <v>0</v>
      </c>
      <c r="I58">
        <v>0</v>
      </c>
    </row>
    <row r="59" spans="1:9" x14ac:dyDescent="0.3">
      <c r="A59" t="s">
        <v>167</v>
      </c>
      <c r="B59" t="s">
        <v>142</v>
      </c>
      <c r="C59">
        <v>0</v>
      </c>
      <c r="D59">
        <v>1</v>
      </c>
      <c r="E59">
        <v>0</v>
      </c>
      <c r="F59">
        <v>0</v>
      </c>
      <c r="G59">
        <v>0</v>
      </c>
      <c r="H59">
        <v>0</v>
      </c>
      <c r="I59">
        <v>0</v>
      </c>
    </row>
    <row r="60" spans="1:9" x14ac:dyDescent="0.3">
      <c r="A60" t="s">
        <v>166</v>
      </c>
      <c r="B60" t="s">
        <v>142</v>
      </c>
      <c r="C60">
        <v>0</v>
      </c>
      <c r="D60">
        <v>1</v>
      </c>
      <c r="E60">
        <v>0</v>
      </c>
      <c r="F60">
        <v>0</v>
      </c>
      <c r="G60">
        <v>0</v>
      </c>
      <c r="H60">
        <v>0</v>
      </c>
      <c r="I60">
        <v>0</v>
      </c>
    </row>
    <row r="61" spans="1:9" x14ac:dyDescent="0.3">
      <c r="A61" t="s">
        <v>165</v>
      </c>
      <c r="B61" t="s">
        <v>142</v>
      </c>
      <c r="C61">
        <v>0</v>
      </c>
      <c r="D61">
        <v>1</v>
      </c>
      <c r="E61">
        <v>0</v>
      </c>
      <c r="F61">
        <v>0</v>
      </c>
      <c r="G61">
        <v>0</v>
      </c>
      <c r="H61">
        <v>0</v>
      </c>
      <c r="I61">
        <v>0</v>
      </c>
    </row>
    <row r="62" spans="1:9" x14ac:dyDescent="0.3">
      <c r="A62" t="s">
        <v>164</v>
      </c>
      <c r="B62" t="s">
        <v>142</v>
      </c>
      <c r="C62">
        <v>0</v>
      </c>
      <c r="D62">
        <v>1</v>
      </c>
      <c r="E62">
        <v>0</v>
      </c>
      <c r="F62">
        <v>0</v>
      </c>
      <c r="G62">
        <v>0</v>
      </c>
      <c r="H62">
        <v>0</v>
      </c>
      <c r="I62">
        <v>0</v>
      </c>
    </row>
    <row r="63" spans="1:9" x14ac:dyDescent="0.3">
      <c r="A63" t="s">
        <v>163</v>
      </c>
      <c r="B63" t="s">
        <v>142</v>
      </c>
      <c r="C63">
        <v>0</v>
      </c>
      <c r="D63">
        <v>1</v>
      </c>
      <c r="E63">
        <v>0</v>
      </c>
      <c r="F63">
        <v>0</v>
      </c>
      <c r="G63">
        <v>0</v>
      </c>
      <c r="H63">
        <v>0</v>
      </c>
      <c r="I63">
        <v>0</v>
      </c>
    </row>
    <row r="64" spans="1:9" x14ac:dyDescent="0.3">
      <c r="A64" t="s">
        <v>162</v>
      </c>
      <c r="B64" t="s">
        <v>142</v>
      </c>
      <c r="C64">
        <v>0</v>
      </c>
      <c r="D64">
        <v>1</v>
      </c>
      <c r="E64">
        <v>0</v>
      </c>
      <c r="F64">
        <v>0</v>
      </c>
      <c r="G64">
        <v>0</v>
      </c>
      <c r="H64">
        <v>0</v>
      </c>
      <c r="I64">
        <v>0</v>
      </c>
    </row>
    <row r="65" spans="1:9" x14ac:dyDescent="0.3">
      <c r="A65" t="s">
        <v>161</v>
      </c>
      <c r="B65" t="s">
        <v>142</v>
      </c>
      <c r="C65">
        <v>0</v>
      </c>
      <c r="D65">
        <v>1</v>
      </c>
      <c r="E65">
        <v>0</v>
      </c>
      <c r="F65">
        <v>0</v>
      </c>
      <c r="G65">
        <v>0</v>
      </c>
      <c r="H65">
        <v>0</v>
      </c>
      <c r="I65">
        <v>0</v>
      </c>
    </row>
    <row r="66" spans="1:9" x14ac:dyDescent="0.3">
      <c r="A66" t="s">
        <v>160</v>
      </c>
      <c r="B66" t="s">
        <v>142</v>
      </c>
      <c r="C66">
        <v>0</v>
      </c>
      <c r="D66">
        <v>1</v>
      </c>
      <c r="E66">
        <v>0</v>
      </c>
      <c r="F66">
        <v>0</v>
      </c>
      <c r="G66">
        <v>0</v>
      </c>
      <c r="H66">
        <v>0</v>
      </c>
      <c r="I66">
        <v>0</v>
      </c>
    </row>
    <row r="67" spans="1:9" x14ac:dyDescent="0.3">
      <c r="A67" t="s">
        <v>159</v>
      </c>
      <c r="B67" t="s">
        <v>142</v>
      </c>
      <c r="C67">
        <v>0</v>
      </c>
      <c r="D67">
        <v>1</v>
      </c>
      <c r="E67">
        <v>0</v>
      </c>
      <c r="F67">
        <v>0</v>
      </c>
      <c r="G67">
        <v>0</v>
      </c>
      <c r="H67">
        <v>0</v>
      </c>
      <c r="I67">
        <v>0</v>
      </c>
    </row>
    <row r="68" spans="1:9" x14ac:dyDescent="0.3">
      <c r="A68" t="s">
        <v>158</v>
      </c>
      <c r="B68" t="s">
        <v>142</v>
      </c>
      <c r="C68">
        <v>0</v>
      </c>
      <c r="D68">
        <v>1</v>
      </c>
      <c r="E68">
        <v>0</v>
      </c>
      <c r="F68">
        <v>0</v>
      </c>
      <c r="G68">
        <v>0</v>
      </c>
      <c r="H68">
        <v>0</v>
      </c>
      <c r="I68">
        <v>0</v>
      </c>
    </row>
    <row r="69" spans="1:9" x14ac:dyDescent="0.3">
      <c r="A69" t="s">
        <v>157</v>
      </c>
      <c r="B69" t="s">
        <v>142</v>
      </c>
      <c r="C69">
        <v>0</v>
      </c>
      <c r="D69">
        <v>1</v>
      </c>
      <c r="E69">
        <v>0</v>
      </c>
      <c r="F69">
        <v>0</v>
      </c>
      <c r="G69">
        <v>0</v>
      </c>
      <c r="H69">
        <v>0</v>
      </c>
      <c r="I69">
        <v>0</v>
      </c>
    </row>
    <row r="70" spans="1:9" x14ac:dyDescent="0.3">
      <c r="A70" t="s">
        <v>156</v>
      </c>
      <c r="B70" t="s">
        <v>142</v>
      </c>
      <c r="C70">
        <v>0</v>
      </c>
      <c r="D70">
        <v>1</v>
      </c>
      <c r="E70">
        <v>0</v>
      </c>
      <c r="F70">
        <v>0</v>
      </c>
      <c r="G70">
        <v>0</v>
      </c>
      <c r="H70">
        <v>0</v>
      </c>
      <c r="I70">
        <v>0</v>
      </c>
    </row>
    <row r="71" spans="1:9" x14ac:dyDescent="0.3">
      <c r="A71" t="s">
        <v>155</v>
      </c>
      <c r="B71" t="s">
        <v>142</v>
      </c>
      <c r="C71">
        <v>0</v>
      </c>
      <c r="D71">
        <v>1</v>
      </c>
      <c r="E71">
        <v>0</v>
      </c>
      <c r="F71">
        <v>0</v>
      </c>
      <c r="G71">
        <v>0</v>
      </c>
      <c r="H71">
        <v>0</v>
      </c>
      <c r="I71">
        <v>0</v>
      </c>
    </row>
    <row r="72" spans="1:9" x14ac:dyDescent="0.3">
      <c r="A72" t="s">
        <v>154</v>
      </c>
      <c r="B72" t="s">
        <v>142</v>
      </c>
      <c r="C72">
        <v>0</v>
      </c>
      <c r="D72">
        <v>1</v>
      </c>
      <c r="E72">
        <v>0</v>
      </c>
      <c r="F72">
        <v>0</v>
      </c>
      <c r="G72">
        <v>0</v>
      </c>
      <c r="H72">
        <v>0</v>
      </c>
      <c r="I72">
        <v>0</v>
      </c>
    </row>
    <row r="73" spans="1:9" x14ac:dyDescent="0.3">
      <c r="A73" t="s">
        <v>153</v>
      </c>
      <c r="B73" t="s">
        <v>142</v>
      </c>
      <c r="C73">
        <v>0</v>
      </c>
      <c r="D73">
        <v>1</v>
      </c>
      <c r="E73">
        <v>0</v>
      </c>
      <c r="F73">
        <v>0</v>
      </c>
      <c r="G73">
        <v>0</v>
      </c>
      <c r="H73">
        <v>0</v>
      </c>
      <c r="I73">
        <v>0</v>
      </c>
    </row>
    <row r="74" spans="1:9" x14ac:dyDescent="0.3">
      <c r="A74" t="s">
        <v>152</v>
      </c>
      <c r="B74" t="s">
        <v>142</v>
      </c>
      <c r="C74">
        <v>0</v>
      </c>
      <c r="D74">
        <v>1</v>
      </c>
      <c r="E74">
        <v>0</v>
      </c>
      <c r="F74">
        <v>0</v>
      </c>
      <c r="G74">
        <v>0</v>
      </c>
      <c r="H74">
        <v>0</v>
      </c>
      <c r="I74">
        <v>0</v>
      </c>
    </row>
    <row r="75" spans="1:9" x14ac:dyDescent="0.3">
      <c r="A75" t="s">
        <v>151</v>
      </c>
      <c r="B75" t="s">
        <v>142</v>
      </c>
      <c r="C75">
        <v>0</v>
      </c>
      <c r="D75">
        <v>1</v>
      </c>
      <c r="E75">
        <v>0</v>
      </c>
      <c r="F75">
        <v>0</v>
      </c>
      <c r="G75">
        <v>0</v>
      </c>
      <c r="H75">
        <v>0</v>
      </c>
      <c r="I75">
        <v>0</v>
      </c>
    </row>
    <row r="76" spans="1:9" x14ac:dyDescent="0.3">
      <c r="A76" t="s">
        <v>150</v>
      </c>
      <c r="B76" t="s">
        <v>142</v>
      </c>
      <c r="C76">
        <v>0</v>
      </c>
      <c r="D76">
        <v>1</v>
      </c>
      <c r="E76">
        <v>0</v>
      </c>
      <c r="F76">
        <v>0</v>
      </c>
      <c r="G76">
        <v>0</v>
      </c>
      <c r="H76">
        <v>0</v>
      </c>
      <c r="I76">
        <v>0</v>
      </c>
    </row>
    <row r="77" spans="1:9" x14ac:dyDescent="0.3">
      <c r="A77" t="s">
        <v>149</v>
      </c>
      <c r="B77" t="s">
        <v>142</v>
      </c>
      <c r="C77">
        <v>0</v>
      </c>
      <c r="D77">
        <v>1</v>
      </c>
      <c r="E77">
        <v>0</v>
      </c>
      <c r="F77">
        <v>0</v>
      </c>
      <c r="G77">
        <v>0</v>
      </c>
      <c r="H77">
        <v>0</v>
      </c>
      <c r="I77">
        <v>0</v>
      </c>
    </row>
    <row r="78" spans="1:9" x14ac:dyDescent="0.3">
      <c r="A78" t="s">
        <v>148</v>
      </c>
      <c r="B78" t="s">
        <v>142</v>
      </c>
      <c r="C78">
        <v>0</v>
      </c>
      <c r="D78">
        <v>1</v>
      </c>
      <c r="E78">
        <v>0</v>
      </c>
      <c r="F78">
        <v>0</v>
      </c>
      <c r="G78">
        <v>0</v>
      </c>
      <c r="H78">
        <v>0</v>
      </c>
      <c r="I78">
        <v>0</v>
      </c>
    </row>
    <row r="79" spans="1:9" x14ac:dyDescent="0.3">
      <c r="A79" t="s">
        <v>147</v>
      </c>
      <c r="B79" t="s">
        <v>142</v>
      </c>
      <c r="C79">
        <v>0</v>
      </c>
      <c r="D79">
        <v>1</v>
      </c>
      <c r="E79">
        <v>0</v>
      </c>
      <c r="F79">
        <v>0</v>
      </c>
      <c r="G79">
        <v>0</v>
      </c>
      <c r="H79">
        <v>0</v>
      </c>
      <c r="I79">
        <v>0</v>
      </c>
    </row>
    <row r="80" spans="1:9" x14ac:dyDescent="0.3">
      <c r="A80" t="s">
        <v>146</v>
      </c>
      <c r="B80" t="s">
        <v>142</v>
      </c>
      <c r="C80">
        <v>0</v>
      </c>
      <c r="D80">
        <v>1</v>
      </c>
      <c r="E80">
        <v>0</v>
      </c>
      <c r="F80">
        <v>0</v>
      </c>
      <c r="G80">
        <v>0</v>
      </c>
      <c r="H80">
        <v>0</v>
      </c>
      <c r="I80">
        <v>0</v>
      </c>
    </row>
    <row r="81" spans="1:9" x14ac:dyDescent="0.3">
      <c r="A81" t="s">
        <v>145</v>
      </c>
      <c r="B81" t="s">
        <v>142</v>
      </c>
      <c r="C81">
        <v>0</v>
      </c>
      <c r="D81">
        <v>1</v>
      </c>
      <c r="E81">
        <v>0</v>
      </c>
      <c r="F81">
        <v>0</v>
      </c>
      <c r="G81">
        <v>0</v>
      </c>
      <c r="H81">
        <v>0</v>
      </c>
      <c r="I81">
        <v>0</v>
      </c>
    </row>
    <row r="82" spans="1:9" x14ac:dyDescent="0.3">
      <c r="A82" t="s">
        <v>144</v>
      </c>
      <c r="B82" t="s">
        <v>142</v>
      </c>
      <c r="C82">
        <v>0</v>
      </c>
      <c r="D82">
        <v>1</v>
      </c>
      <c r="E82">
        <v>0</v>
      </c>
      <c r="F82">
        <v>0</v>
      </c>
      <c r="G82">
        <v>0</v>
      </c>
      <c r="H82">
        <v>0</v>
      </c>
      <c r="I82">
        <v>0</v>
      </c>
    </row>
    <row r="83" spans="1:9" x14ac:dyDescent="0.3">
      <c r="A83" t="s">
        <v>143</v>
      </c>
      <c r="B83" t="s">
        <v>142</v>
      </c>
      <c r="C83">
        <v>0</v>
      </c>
      <c r="D83">
        <v>1</v>
      </c>
      <c r="E83">
        <v>0</v>
      </c>
      <c r="F83">
        <v>0</v>
      </c>
      <c r="G83">
        <v>0</v>
      </c>
      <c r="H83">
        <v>0</v>
      </c>
      <c r="I83">
        <v>0</v>
      </c>
    </row>
    <row r="84" spans="1:9" x14ac:dyDescent="0.3">
      <c r="A84" t="s">
        <v>141</v>
      </c>
      <c r="B84" t="s">
        <v>124</v>
      </c>
      <c r="C84">
        <v>0</v>
      </c>
      <c r="D84">
        <v>0</v>
      </c>
      <c r="E84">
        <v>0</v>
      </c>
      <c r="F84">
        <v>0</v>
      </c>
      <c r="G84">
        <v>1</v>
      </c>
      <c r="H84">
        <v>1</v>
      </c>
      <c r="I84">
        <v>0</v>
      </c>
    </row>
    <row r="85" spans="1:9" x14ac:dyDescent="0.3">
      <c r="A85" t="s">
        <v>140</v>
      </c>
      <c r="B85" t="s">
        <v>124</v>
      </c>
      <c r="C85">
        <v>0</v>
      </c>
      <c r="D85">
        <v>0</v>
      </c>
      <c r="E85">
        <v>0</v>
      </c>
      <c r="F85">
        <v>0</v>
      </c>
      <c r="G85">
        <v>1</v>
      </c>
      <c r="H85">
        <v>1</v>
      </c>
      <c r="I85">
        <v>0</v>
      </c>
    </row>
    <row r="86" spans="1:9" x14ac:dyDescent="0.3">
      <c r="A86" t="s">
        <v>139</v>
      </c>
      <c r="B86" t="s">
        <v>124</v>
      </c>
      <c r="C86">
        <v>0</v>
      </c>
      <c r="D86">
        <v>0</v>
      </c>
      <c r="E86">
        <v>0</v>
      </c>
      <c r="F86">
        <v>0</v>
      </c>
      <c r="G86">
        <v>1</v>
      </c>
      <c r="H86">
        <v>1</v>
      </c>
      <c r="I86">
        <v>0</v>
      </c>
    </row>
    <row r="87" spans="1:9" x14ac:dyDescent="0.3">
      <c r="A87" t="s">
        <v>138</v>
      </c>
      <c r="B87" t="s">
        <v>124</v>
      </c>
      <c r="C87">
        <v>0</v>
      </c>
      <c r="D87">
        <v>0</v>
      </c>
      <c r="E87">
        <v>0</v>
      </c>
      <c r="F87">
        <v>0</v>
      </c>
      <c r="G87">
        <v>1</v>
      </c>
      <c r="H87">
        <v>1</v>
      </c>
      <c r="I87">
        <v>0</v>
      </c>
    </row>
    <row r="88" spans="1:9" x14ac:dyDescent="0.3">
      <c r="A88" t="s">
        <v>137</v>
      </c>
      <c r="B88" t="s">
        <v>124</v>
      </c>
      <c r="C88">
        <v>0</v>
      </c>
      <c r="D88">
        <v>0</v>
      </c>
      <c r="E88">
        <v>0</v>
      </c>
      <c r="F88">
        <v>0</v>
      </c>
      <c r="G88">
        <v>1</v>
      </c>
      <c r="H88">
        <v>1</v>
      </c>
      <c r="I88">
        <v>0</v>
      </c>
    </row>
    <row r="89" spans="1:9" x14ac:dyDescent="0.3">
      <c r="A89" t="s">
        <v>136</v>
      </c>
      <c r="B89" t="s">
        <v>124</v>
      </c>
      <c r="C89">
        <v>0</v>
      </c>
      <c r="D89">
        <v>0</v>
      </c>
      <c r="E89">
        <v>0</v>
      </c>
      <c r="F89">
        <v>0</v>
      </c>
      <c r="G89">
        <v>1</v>
      </c>
      <c r="H89">
        <v>1</v>
      </c>
      <c r="I89">
        <v>0</v>
      </c>
    </row>
    <row r="90" spans="1:9" x14ac:dyDescent="0.3">
      <c r="A90" t="s">
        <v>135</v>
      </c>
      <c r="B90" t="s">
        <v>124</v>
      </c>
      <c r="C90">
        <v>0</v>
      </c>
      <c r="D90">
        <v>0</v>
      </c>
      <c r="E90">
        <v>0</v>
      </c>
      <c r="F90">
        <v>0</v>
      </c>
      <c r="G90">
        <v>1</v>
      </c>
      <c r="H90">
        <v>1</v>
      </c>
      <c r="I90">
        <v>0</v>
      </c>
    </row>
    <row r="91" spans="1:9" x14ac:dyDescent="0.3">
      <c r="A91" t="s">
        <v>134</v>
      </c>
      <c r="B91" t="s">
        <v>124</v>
      </c>
      <c r="C91">
        <v>0</v>
      </c>
      <c r="D91">
        <v>0</v>
      </c>
      <c r="E91">
        <v>0</v>
      </c>
      <c r="F91">
        <v>0</v>
      </c>
      <c r="G91">
        <v>1</v>
      </c>
      <c r="H91">
        <v>1</v>
      </c>
      <c r="I91">
        <v>0</v>
      </c>
    </row>
    <row r="92" spans="1:9" x14ac:dyDescent="0.3">
      <c r="A92" t="s">
        <v>133</v>
      </c>
      <c r="B92" t="s">
        <v>124</v>
      </c>
      <c r="C92">
        <v>0</v>
      </c>
      <c r="D92">
        <v>0</v>
      </c>
      <c r="E92">
        <v>0</v>
      </c>
      <c r="F92">
        <v>0</v>
      </c>
      <c r="G92">
        <v>1</v>
      </c>
      <c r="H92">
        <v>1</v>
      </c>
      <c r="I92">
        <v>0</v>
      </c>
    </row>
    <row r="93" spans="1:9" x14ac:dyDescent="0.3">
      <c r="A93" t="s">
        <v>132</v>
      </c>
      <c r="B93" t="s">
        <v>124</v>
      </c>
      <c r="C93">
        <v>0</v>
      </c>
      <c r="D93">
        <v>0</v>
      </c>
      <c r="E93">
        <v>0</v>
      </c>
      <c r="F93">
        <v>0</v>
      </c>
      <c r="G93">
        <v>1</v>
      </c>
      <c r="H93">
        <v>1</v>
      </c>
      <c r="I93">
        <v>0</v>
      </c>
    </row>
    <row r="94" spans="1:9" x14ac:dyDescent="0.3">
      <c r="A94" t="s">
        <v>131</v>
      </c>
      <c r="B94" t="s">
        <v>124</v>
      </c>
      <c r="C94">
        <v>0</v>
      </c>
      <c r="D94">
        <v>0</v>
      </c>
      <c r="E94">
        <v>0</v>
      </c>
      <c r="F94">
        <v>0</v>
      </c>
      <c r="G94">
        <v>1</v>
      </c>
      <c r="H94">
        <v>1</v>
      </c>
      <c r="I94">
        <v>0</v>
      </c>
    </row>
    <row r="95" spans="1:9" x14ac:dyDescent="0.3">
      <c r="A95" t="s">
        <v>130</v>
      </c>
      <c r="B95" t="s">
        <v>124</v>
      </c>
      <c r="C95">
        <v>0</v>
      </c>
      <c r="D95">
        <v>0</v>
      </c>
      <c r="E95">
        <v>0</v>
      </c>
      <c r="F95">
        <v>0</v>
      </c>
      <c r="G95">
        <v>1</v>
      </c>
      <c r="H95">
        <v>1</v>
      </c>
      <c r="I95">
        <v>0</v>
      </c>
    </row>
    <row r="96" spans="1:9" x14ac:dyDescent="0.3">
      <c r="A96" t="s">
        <v>129</v>
      </c>
      <c r="B96" t="s">
        <v>124</v>
      </c>
      <c r="C96">
        <v>0</v>
      </c>
      <c r="D96">
        <v>0</v>
      </c>
      <c r="E96">
        <v>0</v>
      </c>
      <c r="F96">
        <v>0</v>
      </c>
      <c r="G96">
        <v>1</v>
      </c>
      <c r="H96">
        <v>1</v>
      </c>
      <c r="I96">
        <v>0</v>
      </c>
    </row>
    <row r="97" spans="1:9" x14ac:dyDescent="0.3">
      <c r="A97" t="s">
        <v>128</v>
      </c>
      <c r="B97" t="s">
        <v>124</v>
      </c>
      <c r="C97">
        <v>0</v>
      </c>
      <c r="D97">
        <v>0</v>
      </c>
      <c r="E97">
        <v>0</v>
      </c>
      <c r="F97">
        <v>0</v>
      </c>
      <c r="G97">
        <v>1</v>
      </c>
      <c r="H97">
        <v>1</v>
      </c>
      <c r="I97">
        <v>0</v>
      </c>
    </row>
    <row r="98" spans="1:9" x14ac:dyDescent="0.3">
      <c r="A98" t="s">
        <v>127</v>
      </c>
      <c r="B98" t="s">
        <v>124</v>
      </c>
      <c r="C98">
        <v>0</v>
      </c>
      <c r="D98">
        <v>0</v>
      </c>
      <c r="E98">
        <v>0</v>
      </c>
      <c r="F98">
        <v>0</v>
      </c>
      <c r="G98">
        <v>1</v>
      </c>
      <c r="H98">
        <v>1</v>
      </c>
      <c r="I98">
        <v>0</v>
      </c>
    </row>
    <row r="99" spans="1:9" x14ac:dyDescent="0.3">
      <c r="A99" t="s">
        <v>126</v>
      </c>
      <c r="B99" t="s">
        <v>124</v>
      </c>
      <c r="C99">
        <v>0</v>
      </c>
      <c r="D99">
        <v>0</v>
      </c>
      <c r="E99">
        <v>0</v>
      </c>
      <c r="F99">
        <v>0</v>
      </c>
      <c r="G99">
        <v>1</v>
      </c>
      <c r="H99">
        <v>1</v>
      </c>
      <c r="I99">
        <v>0</v>
      </c>
    </row>
    <row r="100" spans="1:9" x14ac:dyDescent="0.3">
      <c r="A100" t="s">
        <v>125</v>
      </c>
      <c r="B100" t="s">
        <v>124</v>
      </c>
      <c r="C100">
        <v>0</v>
      </c>
      <c r="D100">
        <v>0</v>
      </c>
      <c r="E100">
        <v>0</v>
      </c>
      <c r="F100">
        <v>0</v>
      </c>
      <c r="G100">
        <v>1</v>
      </c>
      <c r="H100">
        <v>1</v>
      </c>
      <c r="I100">
        <v>0</v>
      </c>
    </row>
    <row r="101" spans="1:9" x14ac:dyDescent="0.3">
      <c r="A101" t="s">
        <v>286</v>
      </c>
      <c r="B101" t="s">
        <v>142</v>
      </c>
      <c r="C101">
        <v>0</v>
      </c>
      <c r="D101">
        <v>1</v>
      </c>
      <c r="E101">
        <v>0</v>
      </c>
      <c r="F101">
        <v>0</v>
      </c>
      <c r="G101">
        <v>0</v>
      </c>
      <c r="H101">
        <v>0</v>
      </c>
      <c r="I101">
        <v>0</v>
      </c>
    </row>
    <row r="102" spans="1:9" x14ac:dyDescent="0.3">
      <c r="A102" t="s">
        <v>285</v>
      </c>
      <c r="B102" t="s">
        <v>142</v>
      </c>
      <c r="C102">
        <v>0</v>
      </c>
      <c r="D102">
        <v>1</v>
      </c>
      <c r="E102">
        <v>0</v>
      </c>
      <c r="F102">
        <v>0</v>
      </c>
      <c r="G102">
        <v>0</v>
      </c>
      <c r="H102">
        <v>0</v>
      </c>
      <c r="I102">
        <v>0</v>
      </c>
    </row>
    <row r="103" spans="1:9" x14ac:dyDescent="0.3">
      <c r="A103" t="s">
        <v>284</v>
      </c>
      <c r="B103" t="s">
        <v>142</v>
      </c>
      <c r="C103">
        <v>0</v>
      </c>
      <c r="D103">
        <v>1</v>
      </c>
      <c r="E103">
        <v>0</v>
      </c>
      <c r="F103">
        <v>0</v>
      </c>
      <c r="G103">
        <v>0</v>
      </c>
      <c r="H103">
        <v>0</v>
      </c>
      <c r="I103">
        <v>0</v>
      </c>
    </row>
    <row r="104" spans="1:9" x14ac:dyDescent="0.3">
      <c r="A104" t="s">
        <v>283</v>
      </c>
      <c r="B104" t="s">
        <v>142</v>
      </c>
      <c r="C104">
        <v>0</v>
      </c>
      <c r="D104">
        <v>1</v>
      </c>
      <c r="E104">
        <v>0</v>
      </c>
      <c r="F104">
        <v>0</v>
      </c>
      <c r="G104">
        <v>0</v>
      </c>
      <c r="H104">
        <v>0</v>
      </c>
      <c r="I104">
        <v>0</v>
      </c>
    </row>
    <row r="105" spans="1:9" x14ac:dyDescent="0.3">
      <c r="A105" t="s">
        <v>282</v>
      </c>
      <c r="B105" t="s">
        <v>142</v>
      </c>
      <c r="C105">
        <v>0</v>
      </c>
      <c r="D105">
        <v>1</v>
      </c>
      <c r="E105">
        <v>0</v>
      </c>
      <c r="F105">
        <v>0</v>
      </c>
      <c r="G105">
        <v>0</v>
      </c>
      <c r="H105">
        <v>0</v>
      </c>
      <c r="I105">
        <v>0</v>
      </c>
    </row>
    <row r="106" spans="1:9" x14ac:dyDescent="0.3">
      <c r="A106" t="s">
        <v>281</v>
      </c>
      <c r="B106" t="s">
        <v>176</v>
      </c>
      <c r="C106">
        <v>0</v>
      </c>
      <c r="D106">
        <v>0</v>
      </c>
      <c r="E106">
        <v>0</v>
      </c>
      <c r="F106">
        <v>1</v>
      </c>
      <c r="G106">
        <v>0</v>
      </c>
      <c r="H106">
        <v>1</v>
      </c>
      <c r="I106">
        <v>1</v>
      </c>
    </row>
    <row r="107" spans="1:9" x14ac:dyDescent="0.3">
      <c r="A107" t="s">
        <v>280</v>
      </c>
      <c r="B107" t="s">
        <v>176</v>
      </c>
      <c r="C107">
        <v>0</v>
      </c>
      <c r="D107">
        <v>0</v>
      </c>
      <c r="E107">
        <v>0</v>
      </c>
      <c r="F107">
        <v>1</v>
      </c>
      <c r="G107">
        <v>0</v>
      </c>
      <c r="H107">
        <v>1</v>
      </c>
      <c r="I107">
        <v>1</v>
      </c>
    </row>
    <row r="108" spans="1:9" x14ac:dyDescent="0.3">
      <c r="A108" t="s">
        <v>279</v>
      </c>
      <c r="B108" t="s">
        <v>176</v>
      </c>
      <c r="C108">
        <v>0</v>
      </c>
      <c r="D108">
        <v>0</v>
      </c>
      <c r="E108">
        <v>0</v>
      </c>
      <c r="F108">
        <v>1</v>
      </c>
      <c r="G108">
        <v>0</v>
      </c>
      <c r="H108">
        <v>1</v>
      </c>
      <c r="I108">
        <v>1</v>
      </c>
    </row>
    <row r="109" spans="1:9" x14ac:dyDescent="0.3">
      <c r="A109" t="s">
        <v>278</v>
      </c>
      <c r="B109" t="s">
        <v>142</v>
      </c>
      <c r="C109">
        <v>0</v>
      </c>
      <c r="D109">
        <v>1</v>
      </c>
      <c r="E109">
        <v>0</v>
      </c>
      <c r="F109">
        <v>0</v>
      </c>
      <c r="G109">
        <v>0</v>
      </c>
      <c r="H109">
        <v>0</v>
      </c>
      <c r="I109">
        <v>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5F360D-D104-4F4A-B7D0-8862FB388B52}">
  <dimension ref="A1:I115"/>
  <sheetViews>
    <sheetView workbookViewId="0"/>
  </sheetViews>
  <sheetFormatPr defaultRowHeight="14.4" x14ac:dyDescent="0.3"/>
  <cols>
    <col min="1" max="1" width="32.6640625" bestFit="1" customWidth="1"/>
    <col min="2" max="2" width="10.6640625" bestFit="1" customWidth="1"/>
    <col min="3" max="3" width="14.33203125" bestFit="1" customWidth="1"/>
    <col min="4" max="4" width="11.77734375" bestFit="1" customWidth="1"/>
    <col min="5" max="5" width="11" bestFit="1" customWidth="1"/>
    <col min="6" max="6" width="9.33203125" bestFit="1" customWidth="1"/>
    <col min="7" max="7" width="19.109375" bestFit="1" customWidth="1"/>
    <col min="8" max="8" width="17.21875" bestFit="1" customWidth="1"/>
    <col min="9" max="9" width="24.6640625" bestFit="1" customWidth="1"/>
  </cols>
  <sheetData>
    <row r="1" spans="1:9" x14ac:dyDescent="0.3">
      <c r="A1" t="s">
        <v>123</v>
      </c>
      <c r="B1" t="s">
        <v>122</v>
      </c>
      <c r="C1" t="s">
        <v>121</v>
      </c>
      <c r="D1" t="s">
        <v>120</v>
      </c>
      <c r="E1" t="s">
        <v>119</v>
      </c>
      <c r="F1" t="s">
        <v>118</v>
      </c>
      <c r="G1" t="s">
        <v>117</v>
      </c>
      <c r="H1" t="s">
        <v>116</v>
      </c>
      <c r="I1" t="s">
        <v>115</v>
      </c>
    </row>
    <row r="2" spans="1:9" x14ac:dyDescent="0.3">
      <c r="A2" t="s">
        <v>114</v>
      </c>
      <c r="B2" t="s">
        <v>0</v>
      </c>
      <c r="C2">
        <v>1</v>
      </c>
      <c r="D2">
        <v>0</v>
      </c>
      <c r="E2">
        <v>0</v>
      </c>
      <c r="F2">
        <v>1</v>
      </c>
      <c r="G2">
        <v>0</v>
      </c>
      <c r="H2">
        <v>1</v>
      </c>
      <c r="I2">
        <v>0</v>
      </c>
    </row>
    <row r="3" spans="1:9" x14ac:dyDescent="0.3">
      <c r="A3" t="s">
        <v>113</v>
      </c>
      <c r="B3" t="s">
        <v>0</v>
      </c>
      <c r="C3">
        <v>1</v>
      </c>
      <c r="D3">
        <v>0</v>
      </c>
      <c r="E3">
        <v>0</v>
      </c>
      <c r="F3">
        <v>1</v>
      </c>
      <c r="G3">
        <v>0</v>
      </c>
      <c r="H3">
        <v>1</v>
      </c>
      <c r="I3">
        <v>0</v>
      </c>
    </row>
    <row r="4" spans="1:9" x14ac:dyDescent="0.3">
      <c r="A4" t="s">
        <v>112</v>
      </c>
      <c r="B4" t="s">
        <v>0</v>
      </c>
      <c r="C4">
        <v>1</v>
      </c>
      <c r="D4">
        <v>0</v>
      </c>
      <c r="E4">
        <v>0</v>
      </c>
      <c r="F4">
        <v>0</v>
      </c>
      <c r="G4">
        <v>1</v>
      </c>
      <c r="H4">
        <v>1</v>
      </c>
      <c r="I4">
        <v>0</v>
      </c>
    </row>
    <row r="5" spans="1:9" x14ac:dyDescent="0.3">
      <c r="A5" t="s">
        <v>111</v>
      </c>
      <c r="B5" t="s">
        <v>0</v>
      </c>
      <c r="C5">
        <v>1</v>
      </c>
      <c r="D5">
        <v>0</v>
      </c>
      <c r="E5">
        <v>0</v>
      </c>
      <c r="F5">
        <v>0</v>
      </c>
      <c r="G5">
        <v>1</v>
      </c>
      <c r="H5">
        <v>1</v>
      </c>
      <c r="I5">
        <v>0</v>
      </c>
    </row>
    <row r="6" spans="1:9" x14ac:dyDescent="0.3">
      <c r="A6" t="s">
        <v>110</v>
      </c>
      <c r="B6" t="s">
        <v>0</v>
      </c>
      <c r="C6">
        <v>1</v>
      </c>
      <c r="D6">
        <v>0</v>
      </c>
      <c r="E6">
        <v>0</v>
      </c>
      <c r="F6">
        <v>1</v>
      </c>
      <c r="G6">
        <v>0</v>
      </c>
      <c r="H6">
        <v>1</v>
      </c>
      <c r="I6">
        <v>0</v>
      </c>
    </row>
    <row r="7" spans="1:9" x14ac:dyDescent="0.3">
      <c r="A7" t="s">
        <v>109</v>
      </c>
      <c r="B7" t="s">
        <v>0</v>
      </c>
      <c r="C7">
        <v>1</v>
      </c>
      <c r="D7">
        <v>0</v>
      </c>
      <c r="E7">
        <v>0</v>
      </c>
      <c r="F7">
        <v>1</v>
      </c>
      <c r="G7">
        <v>0</v>
      </c>
      <c r="H7">
        <v>1</v>
      </c>
      <c r="I7">
        <v>0</v>
      </c>
    </row>
    <row r="8" spans="1:9" x14ac:dyDescent="0.3">
      <c r="A8" t="s">
        <v>108</v>
      </c>
      <c r="B8" t="s">
        <v>0</v>
      </c>
      <c r="C8">
        <v>1</v>
      </c>
      <c r="D8">
        <v>0</v>
      </c>
      <c r="E8">
        <v>0</v>
      </c>
      <c r="F8">
        <v>1</v>
      </c>
      <c r="G8">
        <v>0</v>
      </c>
      <c r="H8">
        <v>1</v>
      </c>
      <c r="I8">
        <v>0</v>
      </c>
    </row>
    <row r="9" spans="1:9" x14ac:dyDescent="0.3">
      <c r="A9" t="s">
        <v>107</v>
      </c>
      <c r="B9" t="s">
        <v>0</v>
      </c>
      <c r="C9">
        <v>1</v>
      </c>
      <c r="D9">
        <v>0</v>
      </c>
      <c r="E9">
        <v>0</v>
      </c>
      <c r="F9">
        <v>1</v>
      </c>
      <c r="G9">
        <v>0</v>
      </c>
      <c r="H9">
        <v>1</v>
      </c>
      <c r="I9">
        <v>0</v>
      </c>
    </row>
    <row r="10" spans="1:9" x14ac:dyDescent="0.3">
      <c r="A10" t="s">
        <v>106</v>
      </c>
      <c r="B10" t="s">
        <v>0</v>
      </c>
      <c r="C10">
        <v>1</v>
      </c>
      <c r="D10">
        <v>0</v>
      </c>
      <c r="E10">
        <v>0</v>
      </c>
      <c r="F10">
        <v>0</v>
      </c>
      <c r="G10">
        <v>1</v>
      </c>
      <c r="H10">
        <v>1</v>
      </c>
      <c r="I10">
        <v>0</v>
      </c>
    </row>
    <row r="11" spans="1:9" x14ac:dyDescent="0.3">
      <c r="A11" t="s">
        <v>105</v>
      </c>
      <c r="B11" t="s">
        <v>0</v>
      </c>
      <c r="C11">
        <v>1</v>
      </c>
      <c r="D11">
        <v>0</v>
      </c>
      <c r="E11">
        <v>0</v>
      </c>
      <c r="F11">
        <v>0</v>
      </c>
      <c r="G11">
        <v>1</v>
      </c>
      <c r="H11">
        <v>1</v>
      </c>
      <c r="I11">
        <v>0</v>
      </c>
    </row>
    <row r="12" spans="1:9" x14ac:dyDescent="0.3">
      <c r="A12" t="s">
        <v>104</v>
      </c>
      <c r="B12" t="s">
        <v>0</v>
      </c>
      <c r="C12">
        <v>1</v>
      </c>
      <c r="D12">
        <v>0</v>
      </c>
      <c r="E12">
        <v>0</v>
      </c>
      <c r="F12">
        <v>0</v>
      </c>
      <c r="G12">
        <v>1</v>
      </c>
      <c r="H12">
        <v>1</v>
      </c>
      <c r="I12">
        <v>0</v>
      </c>
    </row>
    <row r="13" spans="1:9" x14ac:dyDescent="0.3">
      <c r="A13" t="s">
        <v>103</v>
      </c>
      <c r="B13" t="s">
        <v>0</v>
      </c>
      <c r="C13">
        <v>1</v>
      </c>
      <c r="D13">
        <v>0</v>
      </c>
      <c r="E13">
        <v>0</v>
      </c>
      <c r="F13">
        <v>0</v>
      </c>
      <c r="G13">
        <v>1</v>
      </c>
      <c r="H13">
        <v>1</v>
      </c>
      <c r="I13">
        <v>0</v>
      </c>
    </row>
    <row r="14" spans="1:9" x14ac:dyDescent="0.3">
      <c r="A14" t="s">
        <v>102</v>
      </c>
      <c r="B14" t="s">
        <v>0</v>
      </c>
      <c r="C14">
        <v>1</v>
      </c>
      <c r="D14">
        <v>0</v>
      </c>
      <c r="E14">
        <v>0</v>
      </c>
      <c r="F14">
        <v>0</v>
      </c>
      <c r="G14">
        <v>1</v>
      </c>
      <c r="H14">
        <v>1</v>
      </c>
      <c r="I14">
        <v>0</v>
      </c>
    </row>
    <row r="15" spans="1:9" x14ac:dyDescent="0.3">
      <c r="A15" t="s">
        <v>101</v>
      </c>
      <c r="B15" t="s">
        <v>0</v>
      </c>
      <c r="C15">
        <v>1</v>
      </c>
      <c r="D15">
        <v>0</v>
      </c>
      <c r="E15">
        <v>0</v>
      </c>
      <c r="F15">
        <v>1</v>
      </c>
      <c r="G15">
        <v>0</v>
      </c>
      <c r="H15">
        <v>1</v>
      </c>
      <c r="I15">
        <v>0</v>
      </c>
    </row>
    <row r="16" spans="1:9" x14ac:dyDescent="0.3">
      <c r="A16" t="s">
        <v>100</v>
      </c>
      <c r="B16" t="s">
        <v>0</v>
      </c>
      <c r="C16">
        <v>1</v>
      </c>
      <c r="D16">
        <v>0</v>
      </c>
      <c r="E16">
        <v>0</v>
      </c>
      <c r="F16">
        <v>0</v>
      </c>
      <c r="G16">
        <v>1</v>
      </c>
      <c r="H16">
        <v>1</v>
      </c>
      <c r="I16">
        <v>0</v>
      </c>
    </row>
    <row r="17" spans="1:9" x14ac:dyDescent="0.3">
      <c r="A17" t="s">
        <v>99</v>
      </c>
      <c r="B17" t="s">
        <v>0</v>
      </c>
      <c r="C17">
        <v>1</v>
      </c>
      <c r="D17">
        <v>0</v>
      </c>
      <c r="E17">
        <v>0</v>
      </c>
      <c r="F17">
        <v>0</v>
      </c>
      <c r="G17">
        <v>1</v>
      </c>
      <c r="H17">
        <v>1</v>
      </c>
      <c r="I17">
        <v>0</v>
      </c>
    </row>
    <row r="18" spans="1:9" x14ac:dyDescent="0.3">
      <c r="A18" t="s">
        <v>98</v>
      </c>
      <c r="B18" t="s">
        <v>0</v>
      </c>
      <c r="C18">
        <v>1</v>
      </c>
      <c r="D18">
        <v>0</v>
      </c>
      <c r="E18">
        <v>0</v>
      </c>
      <c r="F18">
        <v>0</v>
      </c>
      <c r="G18">
        <v>1</v>
      </c>
      <c r="H18">
        <v>1</v>
      </c>
      <c r="I18">
        <v>0</v>
      </c>
    </row>
    <row r="19" spans="1:9" x14ac:dyDescent="0.3">
      <c r="A19" t="s">
        <v>97</v>
      </c>
      <c r="B19" t="s">
        <v>0</v>
      </c>
      <c r="C19">
        <v>1</v>
      </c>
      <c r="D19">
        <v>0</v>
      </c>
      <c r="E19">
        <v>0</v>
      </c>
      <c r="F19">
        <v>0</v>
      </c>
      <c r="G19">
        <v>1</v>
      </c>
      <c r="H19">
        <v>1</v>
      </c>
      <c r="I19">
        <v>0</v>
      </c>
    </row>
    <row r="20" spans="1:9" x14ac:dyDescent="0.3">
      <c r="A20" t="s">
        <v>96</v>
      </c>
      <c r="B20" t="s">
        <v>0</v>
      </c>
      <c r="C20">
        <v>1</v>
      </c>
      <c r="D20">
        <v>0</v>
      </c>
      <c r="E20">
        <v>0</v>
      </c>
      <c r="F20">
        <v>1</v>
      </c>
      <c r="G20">
        <v>0</v>
      </c>
      <c r="H20">
        <v>1</v>
      </c>
      <c r="I20">
        <v>0</v>
      </c>
    </row>
    <row r="21" spans="1:9" x14ac:dyDescent="0.3">
      <c r="A21" t="s">
        <v>95</v>
      </c>
      <c r="B21" t="s">
        <v>0</v>
      </c>
      <c r="C21">
        <v>1</v>
      </c>
      <c r="D21">
        <v>0</v>
      </c>
      <c r="E21">
        <v>0</v>
      </c>
      <c r="F21">
        <v>1</v>
      </c>
      <c r="G21">
        <v>0</v>
      </c>
      <c r="H21">
        <v>1</v>
      </c>
      <c r="I21">
        <v>0</v>
      </c>
    </row>
    <row r="22" spans="1:9" x14ac:dyDescent="0.3">
      <c r="A22" t="s">
        <v>94</v>
      </c>
      <c r="B22" t="s">
        <v>0</v>
      </c>
      <c r="C22">
        <v>1</v>
      </c>
      <c r="D22">
        <v>0</v>
      </c>
      <c r="E22">
        <v>0</v>
      </c>
      <c r="F22">
        <v>0</v>
      </c>
      <c r="G22">
        <v>1</v>
      </c>
      <c r="H22">
        <v>1</v>
      </c>
      <c r="I22">
        <v>0</v>
      </c>
    </row>
    <row r="23" spans="1:9" x14ac:dyDescent="0.3">
      <c r="A23" t="s">
        <v>93</v>
      </c>
      <c r="B23" t="s">
        <v>0</v>
      </c>
      <c r="C23">
        <v>1</v>
      </c>
      <c r="D23">
        <v>0</v>
      </c>
      <c r="E23">
        <v>0</v>
      </c>
      <c r="F23">
        <v>0</v>
      </c>
      <c r="G23">
        <v>1</v>
      </c>
      <c r="H23">
        <v>1</v>
      </c>
      <c r="I23">
        <v>0</v>
      </c>
    </row>
    <row r="24" spans="1:9" x14ac:dyDescent="0.3">
      <c r="A24" t="s">
        <v>92</v>
      </c>
      <c r="B24" t="s">
        <v>0</v>
      </c>
      <c r="C24">
        <v>1</v>
      </c>
      <c r="D24">
        <v>0</v>
      </c>
      <c r="E24">
        <v>0</v>
      </c>
      <c r="F24">
        <v>1</v>
      </c>
      <c r="G24">
        <v>0</v>
      </c>
      <c r="H24">
        <v>1</v>
      </c>
      <c r="I24">
        <v>0</v>
      </c>
    </row>
    <row r="25" spans="1:9" x14ac:dyDescent="0.3">
      <c r="A25" t="s">
        <v>91</v>
      </c>
      <c r="B25" t="s">
        <v>0</v>
      </c>
      <c r="C25">
        <v>1</v>
      </c>
      <c r="D25">
        <v>0</v>
      </c>
      <c r="E25">
        <v>0</v>
      </c>
      <c r="F25">
        <v>0</v>
      </c>
      <c r="G25">
        <v>1</v>
      </c>
      <c r="H25">
        <v>1</v>
      </c>
      <c r="I25">
        <v>0</v>
      </c>
    </row>
    <row r="26" spans="1:9" x14ac:dyDescent="0.3">
      <c r="A26" t="s">
        <v>90</v>
      </c>
      <c r="B26" t="s">
        <v>0</v>
      </c>
      <c r="C26">
        <v>1</v>
      </c>
      <c r="D26">
        <v>0</v>
      </c>
      <c r="E26">
        <v>0</v>
      </c>
      <c r="F26">
        <v>0</v>
      </c>
      <c r="G26">
        <v>1</v>
      </c>
      <c r="H26">
        <v>1</v>
      </c>
      <c r="I26">
        <v>0</v>
      </c>
    </row>
    <row r="27" spans="1:9" x14ac:dyDescent="0.3">
      <c r="A27" t="s">
        <v>89</v>
      </c>
      <c r="B27" t="s">
        <v>0</v>
      </c>
      <c r="C27">
        <v>1</v>
      </c>
      <c r="D27">
        <v>0</v>
      </c>
      <c r="E27">
        <v>0</v>
      </c>
      <c r="F27">
        <v>0</v>
      </c>
      <c r="G27">
        <v>1</v>
      </c>
      <c r="H27">
        <v>1</v>
      </c>
      <c r="I27">
        <v>0</v>
      </c>
    </row>
    <row r="28" spans="1:9" x14ac:dyDescent="0.3">
      <c r="A28" t="s">
        <v>88</v>
      </c>
      <c r="B28" t="s">
        <v>0</v>
      </c>
      <c r="C28">
        <v>1</v>
      </c>
      <c r="D28">
        <v>0</v>
      </c>
      <c r="E28">
        <v>0</v>
      </c>
      <c r="F28">
        <v>0</v>
      </c>
      <c r="G28">
        <v>1</v>
      </c>
      <c r="H28">
        <v>1</v>
      </c>
      <c r="I28">
        <v>0</v>
      </c>
    </row>
    <row r="29" spans="1:9" x14ac:dyDescent="0.3">
      <c r="A29" t="s">
        <v>87</v>
      </c>
      <c r="B29" t="s">
        <v>0</v>
      </c>
      <c r="C29">
        <v>1</v>
      </c>
      <c r="D29">
        <v>0</v>
      </c>
      <c r="E29">
        <v>0</v>
      </c>
      <c r="F29">
        <v>0</v>
      </c>
      <c r="G29">
        <v>1</v>
      </c>
      <c r="H29">
        <v>1</v>
      </c>
      <c r="I29">
        <v>0</v>
      </c>
    </row>
    <row r="30" spans="1:9" x14ac:dyDescent="0.3">
      <c r="A30" t="s">
        <v>86</v>
      </c>
      <c r="B30" t="s">
        <v>0</v>
      </c>
      <c r="C30">
        <v>1</v>
      </c>
      <c r="D30">
        <v>0</v>
      </c>
      <c r="E30">
        <v>0</v>
      </c>
      <c r="F30">
        <v>0</v>
      </c>
      <c r="G30">
        <v>0</v>
      </c>
      <c r="H30">
        <v>1</v>
      </c>
      <c r="I30">
        <v>0</v>
      </c>
    </row>
    <row r="31" spans="1:9" x14ac:dyDescent="0.3">
      <c r="A31" t="s">
        <v>85</v>
      </c>
      <c r="B31" t="s">
        <v>0</v>
      </c>
      <c r="C31">
        <v>1</v>
      </c>
      <c r="D31">
        <v>0</v>
      </c>
      <c r="E31">
        <v>0</v>
      </c>
      <c r="F31">
        <v>0</v>
      </c>
      <c r="G31">
        <v>0</v>
      </c>
      <c r="H31">
        <v>1</v>
      </c>
      <c r="I31">
        <v>0</v>
      </c>
    </row>
    <row r="32" spans="1:9" x14ac:dyDescent="0.3">
      <c r="A32" t="s">
        <v>84</v>
      </c>
      <c r="B32" t="s">
        <v>0</v>
      </c>
      <c r="C32">
        <v>1</v>
      </c>
      <c r="D32">
        <v>0</v>
      </c>
      <c r="E32">
        <v>0</v>
      </c>
      <c r="F32">
        <v>1</v>
      </c>
      <c r="G32">
        <v>0</v>
      </c>
      <c r="H32">
        <v>1</v>
      </c>
      <c r="I32">
        <v>0</v>
      </c>
    </row>
    <row r="33" spans="1:9" x14ac:dyDescent="0.3">
      <c r="A33" t="s">
        <v>83</v>
      </c>
      <c r="B33" t="s">
        <v>0</v>
      </c>
      <c r="C33">
        <v>1</v>
      </c>
      <c r="D33">
        <v>0</v>
      </c>
      <c r="E33">
        <v>0</v>
      </c>
      <c r="F33">
        <v>1</v>
      </c>
      <c r="G33">
        <v>0</v>
      </c>
      <c r="H33">
        <v>1</v>
      </c>
      <c r="I33">
        <v>0</v>
      </c>
    </row>
    <row r="34" spans="1:9" x14ac:dyDescent="0.3">
      <c r="A34" t="s">
        <v>82</v>
      </c>
      <c r="B34" t="s">
        <v>0</v>
      </c>
      <c r="C34">
        <v>1</v>
      </c>
      <c r="D34">
        <v>0</v>
      </c>
      <c r="E34">
        <v>0</v>
      </c>
      <c r="F34">
        <v>0</v>
      </c>
      <c r="G34">
        <v>1</v>
      </c>
      <c r="H34">
        <v>1</v>
      </c>
      <c r="I34">
        <v>0</v>
      </c>
    </row>
    <row r="35" spans="1:9" x14ac:dyDescent="0.3">
      <c r="A35" t="s">
        <v>81</v>
      </c>
      <c r="B35" t="s">
        <v>0</v>
      </c>
      <c r="C35">
        <v>1</v>
      </c>
      <c r="D35">
        <v>0</v>
      </c>
      <c r="E35">
        <v>0</v>
      </c>
      <c r="F35">
        <v>0</v>
      </c>
      <c r="G35">
        <v>1</v>
      </c>
      <c r="H35">
        <v>1</v>
      </c>
      <c r="I35">
        <v>0</v>
      </c>
    </row>
    <row r="36" spans="1:9" x14ac:dyDescent="0.3">
      <c r="A36" t="s">
        <v>80</v>
      </c>
      <c r="B36" t="s">
        <v>0</v>
      </c>
      <c r="C36">
        <v>1</v>
      </c>
      <c r="D36">
        <v>0</v>
      </c>
      <c r="E36">
        <v>0</v>
      </c>
      <c r="F36">
        <v>0</v>
      </c>
      <c r="G36">
        <v>1</v>
      </c>
      <c r="H36">
        <v>1</v>
      </c>
      <c r="I36">
        <v>0</v>
      </c>
    </row>
    <row r="37" spans="1:9" x14ac:dyDescent="0.3">
      <c r="A37" t="s">
        <v>79</v>
      </c>
      <c r="B37" t="s">
        <v>0</v>
      </c>
      <c r="C37">
        <v>1</v>
      </c>
      <c r="D37">
        <v>0</v>
      </c>
      <c r="E37">
        <v>0</v>
      </c>
      <c r="F37">
        <v>0</v>
      </c>
      <c r="G37">
        <v>1</v>
      </c>
      <c r="H37">
        <v>1</v>
      </c>
      <c r="I37">
        <v>0</v>
      </c>
    </row>
    <row r="38" spans="1:9" x14ac:dyDescent="0.3">
      <c r="A38" t="s">
        <v>78</v>
      </c>
      <c r="B38" t="s">
        <v>0</v>
      </c>
      <c r="C38">
        <v>1</v>
      </c>
      <c r="D38">
        <v>0</v>
      </c>
      <c r="E38">
        <v>0</v>
      </c>
      <c r="F38">
        <v>1</v>
      </c>
      <c r="G38">
        <v>0</v>
      </c>
      <c r="H38">
        <v>1</v>
      </c>
      <c r="I38">
        <v>0</v>
      </c>
    </row>
    <row r="39" spans="1:9" x14ac:dyDescent="0.3">
      <c r="A39" t="s">
        <v>77</v>
      </c>
      <c r="B39" t="s">
        <v>0</v>
      </c>
      <c r="C39">
        <v>1</v>
      </c>
      <c r="D39">
        <v>0</v>
      </c>
      <c r="E39">
        <v>0</v>
      </c>
      <c r="F39">
        <v>0</v>
      </c>
      <c r="G39">
        <v>1</v>
      </c>
      <c r="H39">
        <v>1</v>
      </c>
      <c r="I39">
        <v>0</v>
      </c>
    </row>
    <row r="40" spans="1:9" x14ac:dyDescent="0.3">
      <c r="A40" t="s">
        <v>76</v>
      </c>
      <c r="B40" t="s">
        <v>0</v>
      </c>
      <c r="C40">
        <v>1</v>
      </c>
      <c r="D40">
        <v>0</v>
      </c>
      <c r="E40">
        <v>0</v>
      </c>
      <c r="F40">
        <v>0</v>
      </c>
      <c r="G40">
        <v>0</v>
      </c>
      <c r="H40">
        <v>1</v>
      </c>
      <c r="I40">
        <v>0</v>
      </c>
    </row>
    <row r="41" spans="1:9" x14ac:dyDescent="0.3">
      <c r="A41" t="s">
        <v>75</v>
      </c>
      <c r="B41" t="s">
        <v>0</v>
      </c>
      <c r="C41">
        <v>1</v>
      </c>
      <c r="D41">
        <v>0</v>
      </c>
      <c r="E41">
        <v>0</v>
      </c>
      <c r="F41">
        <v>1</v>
      </c>
      <c r="G41">
        <v>0</v>
      </c>
      <c r="H41">
        <v>1</v>
      </c>
      <c r="I41">
        <v>0</v>
      </c>
    </row>
    <row r="42" spans="1:9" x14ac:dyDescent="0.3">
      <c r="A42" t="s">
        <v>74</v>
      </c>
      <c r="B42" t="s">
        <v>0</v>
      </c>
      <c r="C42">
        <v>1</v>
      </c>
      <c r="D42">
        <v>0</v>
      </c>
      <c r="E42">
        <v>0</v>
      </c>
      <c r="F42">
        <v>1</v>
      </c>
      <c r="G42">
        <v>0</v>
      </c>
      <c r="H42">
        <v>1</v>
      </c>
      <c r="I42">
        <v>0</v>
      </c>
    </row>
    <row r="43" spans="1:9" x14ac:dyDescent="0.3">
      <c r="A43" t="s">
        <v>73</v>
      </c>
      <c r="B43" t="s">
        <v>0</v>
      </c>
      <c r="C43">
        <v>1</v>
      </c>
      <c r="D43">
        <v>0</v>
      </c>
      <c r="E43">
        <v>0</v>
      </c>
      <c r="F43">
        <v>1</v>
      </c>
      <c r="G43">
        <v>0</v>
      </c>
      <c r="H43">
        <v>1</v>
      </c>
      <c r="I43">
        <v>0</v>
      </c>
    </row>
    <row r="44" spans="1:9" x14ac:dyDescent="0.3">
      <c r="A44" t="s">
        <v>72</v>
      </c>
      <c r="B44" t="s">
        <v>0</v>
      </c>
      <c r="C44">
        <v>1</v>
      </c>
      <c r="D44">
        <v>0</v>
      </c>
      <c r="E44">
        <v>0</v>
      </c>
      <c r="F44">
        <v>1</v>
      </c>
      <c r="G44">
        <v>0</v>
      </c>
      <c r="H44">
        <v>1</v>
      </c>
      <c r="I44">
        <v>0</v>
      </c>
    </row>
    <row r="45" spans="1:9" x14ac:dyDescent="0.3">
      <c r="A45" t="s">
        <v>71</v>
      </c>
      <c r="B45" t="s">
        <v>0</v>
      </c>
      <c r="C45">
        <v>1</v>
      </c>
      <c r="D45">
        <v>0</v>
      </c>
      <c r="E45">
        <v>0</v>
      </c>
      <c r="F45">
        <v>1</v>
      </c>
      <c r="G45">
        <v>0</v>
      </c>
      <c r="H45">
        <v>1</v>
      </c>
      <c r="I45">
        <v>0</v>
      </c>
    </row>
    <row r="46" spans="1:9" x14ac:dyDescent="0.3">
      <c r="A46" t="s">
        <v>70</v>
      </c>
      <c r="B46" t="s">
        <v>0</v>
      </c>
      <c r="C46">
        <v>1</v>
      </c>
      <c r="D46">
        <v>0</v>
      </c>
      <c r="E46">
        <v>0</v>
      </c>
      <c r="F46">
        <v>1</v>
      </c>
      <c r="G46">
        <v>0</v>
      </c>
      <c r="H46">
        <v>1</v>
      </c>
      <c r="I46">
        <v>0</v>
      </c>
    </row>
    <row r="47" spans="1:9" x14ac:dyDescent="0.3">
      <c r="A47" t="s">
        <v>69</v>
      </c>
      <c r="B47" t="s">
        <v>0</v>
      </c>
      <c r="C47">
        <v>1</v>
      </c>
      <c r="D47">
        <v>0</v>
      </c>
      <c r="E47">
        <v>0</v>
      </c>
      <c r="F47">
        <v>1</v>
      </c>
      <c r="G47">
        <v>0</v>
      </c>
      <c r="H47">
        <v>1</v>
      </c>
      <c r="I47">
        <v>0</v>
      </c>
    </row>
    <row r="48" spans="1:9" x14ac:dyDescent="0.3">
      <c r="A48" t="s">
        <v>68</v>
      </c>
      <c r="B48" t="s">
        <v>0</v>
      </c>
      <c r="C48">
        <v>1</v>
      </c>
      <c r="D48">
        <v>0</v>
      </c>
      <c r="E48">
        <v>0</v>
      </c>
      <c r="F48">
        <v>1</v>
      </c>
      <c r="G48">
        <v>0</v>
      </c>
      <c r="H48">
        <v>1</v>
      </c>
      <c r="I48">
        <v>0</v>
      </c>
    </row>
    <row r="49" spans="1:9" x14ac:dyDescent="0.3">
      <c r="A49" t="s">
        <v>67</v>
      </c>
      <c r="B49" t="s">
        <v>0</v>
      </c>
      <c r="C49">
        <v>1</v>
      </c>
      <c r="D49">
        <v>0</v>
      </c>
      <c r="E49">
        <v>0</v>
      </c>
      <c r="F49">
        <v>1</v>
      </c>
      <c r="G49">
        <v>0</v>
      </c>
      <c r="H49">
        <v>1</v>
      </c>
      <c r="I49">
        <v>0</v>
      </c>
    </row>
    <row r="50" spans="1:9" x14ac:dyDescent="0.3">
      <c r="A50" t="s">
        <v>66</v>
      </c>
      <c r="B50" t="s">
        <v>0</v>
      </c>
      <c r="C50">
        <v>1</v>
      </c>
      <c r="D50">
        <v>0</v>
      </c>
      <c r="E50">
        <v>0</v>
      </c>
      <c r="F50">
        <v>1</v>
      </c>
      <c r="G50">
        <v>0</v>
      </c>
      <c r="H50">
        <v>1</v>
      </c>
      <c r="I50">
        <v>1</v>
      </c>
    </row>
    <row r="51" spans="1:9" x14ac:dyDescent="0.3">
      <c r="A51" t="s">
        <v>65</v>
      </c>
      <c r="B51" t="s">
        <v>0</v>
      </c>
      <c r="C51">
        <v>1</v>
      </c>
      <c r="D51">
        <v>0</v>
      </c>
      <c r="E51">
        <v>0</v>
      </c>
      <c r="F51">
        <v>0</v>
      </c>
      <c r="G51">
        <v>1</v>
      </c>
      <c r="H51">
        <v>1</v>
      </c>
      <c r="I51">
        <v>1</v>
      </c>
    </row>
    <row r="52" spans="1:9" x14ac:dyDescent="0.3">
      <c r="A52" t="s">
        <v>64</v>
      </c>
      <c r="B52" t="s">
        <v>0</v>
      </c>
      <c r="C52">
        <v>1</v>
      </c>
      <c r="D52">
        <v>0</v>
      </c>
      <c r="E52">
        <v>0</v>
      </c>
      <c r="F52">
        <v>0</v>
      </c>
      <c r="G52">
        <v>1</v>
      </c>
      <c r="H52">
        <v>1</v>
      </c>
      <c r="I52">
        <v>1</v>
      </c>
    </row>
    <row r="53" spans="1:9" x14ac:dyDescent="0.3">
      <c r="A53" t="s">
        <v>63</v>
      </c>
      <c r="B53" t="s">
        <v>0</v>
      </c>
      <c r="C53">
        <v>1</v>
      </c>
      <c r="D53">
        <v>0</v>
      </c>
      <c r="E53">
        <v>0</v>
      </c>
      <c r="F53">
        <v>0</v>
      </c>
      <c r="G53">
        <v>1</v>
      </c>
      <c r="H53">
        <v>1</v>
      </c>
      <c r="I53">
        <v>1</v>
      </c>
    </row>
    <row r="54" spans="1:9" x14ac:dyDescent="0.3">
      <c r="A54" t="s">
        <v>62</v>
      </c>
      <c r="B54" t="s">
        <v>0</v>
      </c>
      <c r="C54">
        <v>1</v>
      </c>
      <c r="D54">
        <v>0</v>
      </c>
      <c r="E54">
        <v>1</v>
      </c>
      <c r="F54">
        <v>0</v>
      </c>
      <c r="G54">
        <v>0</v>
      </c>
      <c r="H54">
        <v>1</v>
      </c>
      <c r="I54">
        <v>1</v>
      </c>
    </row>
    <row r="55" spans="1:9" x14ac:dyDescent="0.3">
      <c r="A55" t="s">
        <v>61</v>
      </c>
      <c r="B55" t="s">
        <v>0</v>
      </c>
      <c r="C55">
        <v>1</v>
      </c>
      <c r="D55">
        <v>0</v>
      </c>
      <c r="E55">
        <v>0</v>
      </c>
      <c r="F55">
        <v>0</v>
      </c>
      <c r="G55">
        <v>1</v>
      </c>
      <c r="H55">
        <v>1</v>
      </c>
      <c r="I55">
        <v>1</v>
      </c>
    </row>
    <row r="56" spans="1:9" x14ac:dyDescent="0.3">
      <c r="A56" t="s">
        <v>60</v>
      </c>
      <c r="B56" t="s">
        <v>0</v>
      </c>
      <c r="C56">
        <v>1</v>
      </c>
      <c r="D56">
        <v>0</v>
      </c>
      <c r="E56">
        <v>0</v>
      </c>
      <c r="F56">
        <v>1</v>
      </c>
      <c r="G56">
        <v>0</v>
      </c>
      <c r="H56">
        <v>1</v>
      </c>
      <c r="I56">
        <v>1</v>
      </c>
    </row>
    <row r="57" spans="1:9" x14ac:dyDescent="0.3">
      <c r="A57" t="s">
        <v>59</v>
      </c>
      <c r="B57" t="s">
        <v>0</v>
      </c>
      <c r="C57">
        <v>1</v>
      </c>
      <c r="D57">
        <v>0</v>
      </c>
      <c r="E57">
        <v>0</v>
      </c>
      <c r="F57">
        <v>0</v>
      </c>
      <c r="G57">
        <v>1</v>
      </c>
      <c r="H57">
        <v>1</v>
      </c>
      <c r="I57">
        <v>1</v>
      </c>
    </row>
    <row r="58" spans="1:9" x14ac:dyDescent="0.3">
      <c r="A58" t="s">
        <v>58</v>
      </c>
      <c r="B58" t="s">
        <v>0</v>
      </c>
      <c r="C58">
        <v>1</v>
      </c>
      <c r="D58">
        <v>0</v>
      </c>
      <c r="E58">
        <v>0</v>
      </c>
      <c r="F58">
        <v>1</v>
      </c>
      <c r="G58">
        <v>0</v>
      </c>
      <c r="H58">
        <v>1</v>
      </c>
      <c r="I58">
        <v>1</v>
      </c>
    </row>
    <row r="59" spans="1:9" x14ac:dyDescent="0.3">
      <c r="A59" t="s">
        <v>57</v>
      </c>
      <c r="B59" t="s">
        <v>0</v>
      </c>
      <c r="C59">
        <v>1</v>
      </c>
      <c r="D59">
        <v>0</v>
      </c>
      <c r="E59">
        <v>0</v>
      </c>
      <c r="F59">
        <v>0</v>
      </c>
      <c r="G59">
        <v>1</v>
      </c>
      <c r="H59">
        <v>1</v>
      </c>
      <c r="I59">
        <v>0</v>
      </c>
    </row>
    <row r="60" spans="1:9" x14ac:dyDescent="0.3">
      <c r="A60" t="s">
        <v>56</v>
      </c>
      <c r="B60" t="s">
        <v>0</v>
      </c>
      <c r="C60">
        <v>1</v>
      </c>
      <c r="D60">
        <v>0</v>
      </c>
      <c r="E60">
        <v>0</v>
      </c>
      <c r="F60">
        <v>0</v>
      </c>
      <c r="G60">
        <v>1</v>
      </c>
      <c r="H60">
        <v>1</v>
      </c>
      <c r="I60">
        <v>0</v>
      </c>
    </row>
    <row r="61" spans="1:9" x14ac:dyDescent="0.3">
      <c r="A61" t="s">
        <v>55</v>
      </c>
      <c r="B61" t="s">
        <v>0</v>
      </c>
      <c r="C61">
        <v>1</v>
      </c>
      <c r="D61">
        <v>0</v>
      </c>
      <c r="E61">
        <v>0</v>
      </c>
      <c r="F61">
        <v>1</v>
      </c>
      <c r="G61">
        <v>0</v>
      </c>
      <c r="H61">
        <v>1</v>
      </c>
      <c r="I61">
        <v>0</v>
      </c>
    </row>
    <row r="62" spans="1:9" x14ac:dyDescent="0.3">
      <c r="A62" t="s">
        <v>54</v>
      </c>
      <c r="B62" t="s">
        <v>0</v>
      </c>
      <c r="C62">
        <v>1</v>
      </c>
      <c r="D62">
        <v>0</v>
      </c>
      <c r="E62">
        <v>0</v>
      </c>
      <c r="F62">
        <v>1</v>
      </c>
      <c r="G62">
        <v>0</v>
      </c>
      <c r="H62">
        <v>1</v>
      </c>
      <c r="I62">
        <v>0</v>
      </c>
    </row>
    <row r="63" spans="1:9" x14ac:dyDescent="0.3">
      <c r="A63" t="s">
        <v>53</v>
      </c>
      <c r="B63" t="s">
        <v>0</v>
      </c>
      <c r="C63">
        <v>1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</row>
    <row r="64" spans="1:9" x14ac:dyDescent="0.3">
      <c r="A64" t="s">
        <v>52</v>
      </c>
      <c r="B64" t="s">
        <v>0</v>
      </c>
      <c r="C64">
        <v>1</v>
      </c>
      <c r="D64">
        <v>0</v>
      </c>
      <c r="E64">
        <v>0</v>
      </c>
      <c r="F64">
        <v>0</v>
      </c>
      <c r="G64">
        <v>0</v>
      </c>
      <c r="H64">
        <v>0</v>
      </c>
      <c r="I64">
        <v>0</v>
      </c>
    </row>
    <row r="65" spans="1:9" x14ac:dyDescent="0.3">
      <c r="A65" t="s">
        <v>51</v>
      </c>
      <c r="B65" t="s">
        <v>0</v>
      </c>
      <c r="C65">
        <v>1</v>
      </c>
      <c r="D65">
        <v>0</v>
      </c>
      <c r="E65">
        <v>0</v>
      </c>
      <c r="F65">
        <v>0</v>
      </c>
      <c r="G65">
        <v>1</v>
      </c>
      <c r="H65">
        <v>1</v>
      </c>
      <c r="I65">
        <v>0</v>
      </c>
    </row>
    <row r="66" spans="1:9" x14ac:dyDescent="0.3">
      <c r="A66" t="s">
        <v>50</v>
      </c>
      <c r="B66" t="s">
        <v>0</v>
      </c>
      <c r="C66">
        <v>1</v>
      </c>
      <c r="D66">
        <v>0</v>
      </c>
      <c r="E66">
        <v>0</v>
      </c>
      <c r="F66">
        <v>0</v>
      </c>
      <c r="G66">
        <v>0</v>
      </c>
      <c r="H66">
        <v>1</v>
      </c>
      <c r="I66">
        <v>0</v>
      </c>
    </row>
    <row r="67" spans="1:9" x14ac:dyDescent="0.3">
      <c r="A67" t="s">
        <v>49</v>
      </c>
      <c r="B67" t="s">
        <v>0</v>
      </c>
      <c r="C67">
        <v>1</v>
      </c>
      <c r="D67">
        <v>0</v>
      </c>
      <c r="E67">
        <v>0</v>
      </c>
      <c r="F67">
        <v>0</v>
      </c>
      <c r="G67">
        <v>0</v>
      </c>
      <c r="H67">
        <v>1</v>
      </c>
      <c r="I67">
        <v>0</v>
      </c>
    </row>
    <row r="68" spans="1:9" x14ac:dyDescent="0.3">
      <c r="A68" t="s">
        <v>48</v>
      </c>
      <c r="B68" t="s">
        <v>0</v>
      </c>
      <c r="C68">
        <v>1</v>
      </c>
      <c r="D68">
        <v>0</v>
      </c>
      <c r="E68">
        <v>0</v>
      </c>
      <c r="F68">
        <v>0</v>
      </c>
      <c r="G68">
        <v>0</v>
      </c>
      <c r="H68">
        <v>0</v>
      </c>
      <c r="I68">
        <v>0</v>
      </c>
    </row>
    <row r="69" spans="1:9" x14ac:dyDescent="0.3">
      <c r="A69" t="s">
        <v>47</v>
      </c>
      <c r="B69" t="s">
        <v>0</v>
      </c>
      <c r="C69">
        <v>1</v>
      </c>
      <c r="D69">
        <v>0</v>
      </c>
      <c r="E69">
        <v>0</v>
      </c>
      <c r="F69">
        <v>1</v>
      </c>
      <c r="G69">
        <v>0</v>
      </c>
      <c r="H69">
        <v>1</v>
      </c>
      <c r="I69">
        <v>0</v>
      </c>
    </row>
    <row r="70" spans="1:9" x14ac:dyDescent="0.3">
      <c r="A70" t="s">
        <v>46</v>
      </c>
      <c r="B70" t="s">
        <v>0</v>
      </c>
      <c r="C70">
        <v>1</v>
      </c>
      <c r="D70">
        <v>0</v>
      </c>
      <c r="E70">
        <v>0</v>
      </c>
      <c r="F70">
        <v>0</v>
      </c>
      <c r="G70">
        <v>1</v>
      </c>
      <c r="H70">
        <v>1</v>
      </c>
      <c r="I70">
        <v>0</v>
      </c>
    </row>
    <row r="71" spans="1:9" x14ac:dyDescent="0.3">
      <c r="A71" t="s">
        <v>45</v>
      </c>
      <c r="B71" t="s">
        <v>0</v>
      </c>
      <c r="C71">
        <v>1</v>
      </c>
      <c r="D71">
        <v>0</v>
      </c>
      <c r="E71">
        <v>0</v>
      </c>
      <c r="F71">
        <v>0</v>
      </c>
      <c r="G71">
        <v>0</v>
      </c>
      <c r="H71">
        <v>0</v>
      </c>
      <c r="I71">
        <v>0</v>
      </c>
    </row>
    <row r="72" spans="1:9" x14ac:dyDescent="0.3">
      <c r="A72" t="s">
        <v>44</v>
      </c>
      <c r="B72" t="s">
        <v>0</v>
      </c>
      <c r="C72">
        <v>1</v>
      </c>
      <c r="D72">
        <v>0</v>
      </c>
      <c r="E72">
        <v>0</v>
      </c>
      <c r="F72">
        <v>1</v>
      </c>
      <c r="G72">
        <v>0</v>
      </c>
      <c r="H72">
        <v>1</v>
      </c>
      <c r="I72">
        <v>0</v>
      </c>
    </row>
    <row r="73" spans="1:9" x14ac:dyDescent="0.3">
      <c r="A73" t="s">
        <v>43</v>
      </c>
      <c r="B73" t="s">
        <v>0</v>
      </c>
      <c r="C73">
        <v>1</v>
      </c>
      <c r="D73">
        <v>0</v>
      </c>
      <c r="E73">
        <v>0</v>
      </c>
      <c r="F73">
        <v>0</v>
      </c>
      <c r="G73">
        <v>1</v>
      </c>
      <c r="H73">
        <v>1</v>
      </c>
      <c r="I73">
        <v>0</v>
      </c>
    </row>
    <row r="74" spans="1:9" x14ac:dyDescent="0.3">
      <c r="A74" t="s">
        <v>42</v>
      </c>
      <c r="B74" t="s">
        <v>0</v>
      </c>
      <c r="C74">
        <v>1</v>
      </c>
      <c r="D74">
        <v>0</v>
      </c>
      <c r="E74">
        <v>0</v>
      </c>
      <c r="F74">
        <v>0</v>
      </c>
      <c r="G74">
        <v>1</v>
      </c>
      <c r="H74">
        <v>1</v>
      </c>
      <c r="I74">
        <v>0</v>
      </c>
    </row>
    <row r="75" spans="1:9" x14ac:dyDescent="0.3">
      <c r="A75" t="s">
        <v>41</v>
      </c>
      <c r="B75" t="s">
        <v>0</v>
      </c>
      <c r="C75">
        <v>1</v>
      </c>
      <c r="D75">
        <v>0</v>
      </c>
      <c r="E75">
        <v>0</v>
      </c>
      <c r="F75">
        <v>1</v>
      </c>
      <c r="G75">
        <v>0</v>
      </c>
      <c r="H75">
        <v>1</v>
      </c>
      <c r="I75">
        <v>0</v>
      </c>
    </row>
    <row r="76" spans="1:9" x14ac:dyDescent="0.3">
      <c r="A76" t="s">
        <v>40</v>
      </c>
      <c r="B76" t="s">
        <v>0</v>
      </c>
      <c r="C76">
        <v>1</v>
      </c>
      <c r="D76">
        <v>0</v>
      </c>
      <c r="E76">
        <v>0</v>
      </c>
      <c r="F76">
        <v>0</v>
      </c>
      <c r="G76">
        <v>1</v>
      </c>
      <c r="H76">
        <v>1</v>
      </c>
      <c r="I76">
        <v>0</v>
      </c>
    </row>
    <row r="77" spans="1:9" x14ac:dyDescent="0.3">
      <c r="A77" t="s">
        <v>39</v>
      </c>
      <c r="B77" t="s">
        <v>0</v>
      </c>
      <c r="C77">
        <v>1</v>
      </c>
      <c r="D77">
        <v>0</v>
      </c>
      <c r="E77">
        <v>0</v>
      </c>
      <c r="F77">
        <v>0</v>
      </c>
      <c r="G77">
        <v>1</v>
      </c>
      <c r="H77">
        <v>1</v>
      </c>
      <c r="I77">
        <v>0</v>
      </c>
    </row>
    <row r="78" spans="1:9" x14ac:dyDescent="0.3">
      <c r="A78" t="s">
        <v>38</v>
      </c>
      <c r="B78" t="s">
        <v>0</v>
      </c>
      <c r="C78">
        <v>1</v>
      </c>
      <c r="D78">
        <v>0</v>
      </c>
      <c r="E78">
        <v>0</v>
      </c>
      <c r="F78">
        <v>0</v>
      </c>
      <c r="G78">
        <v>0</v>
      </c>
      <c r="H78">
        <v>1</v>
      </c>
      <c r="I78">
        <v>0</v>
      </c>
    </row>
    <row r="79" spans="1:9" x14ac:dyDescent="0.3">
      <c r="A79" t="s">
        <v>37</v>
      </c>
      <c r="B79" t="s">
        <v>0</v>
      </c>
      <c r="C79">
        <v>1</v>
      </c>
      <c r="D79">
        <v>0</v>
      </c>
      <c r="E79">
        <v>0</v>
      </c>
      <c r="F79">
        <v>0</v>
      </c>
      <c r="G79">
        <v>0</v>
      </c>
      <c r="H79">
        <v>1</v>
      </c>
      <c r="I79">
        <v>0</v>
      </c>
    </row>
    <row r="80" spans="1:9" x14ac:dyDescent="0.3">
      <c r="A80" t="s">
        <v>36</v>
      </c>
      <c r="B80" t="s">
        <v>0</v>
      </c>
      <c r="C80">
        <v>1</v>
      </c>
      <c r="D80">
        <v>0</v>
      </c>
      <c r="E80">
        <v>0</v>
      </c>
      <c r="F80">
        <v>0</v>
      </c>
      <c r="G80">
        <v>0</v>
      </c>
      <c r="H80">
        <v>0</v>
      </c>
      <c r="I80">
        <v>0</v>
      </c>
    </row>
    <row r="81" spans="1:9" x14ac:dyDescent="0.3">
      <c r="A81" t="s">
        <v>35</v>
      </c>
      <c r="B81" t="s">
        <v>0</v>
      </c>
      <c r="C81">
        <v>1</v>
      </c>
      <c r="D81">
        <v>0</v>
      </c>
      <c r="E81">
        <v>0</v>
      </c>
      <c r="F81">
        <v>0</v>
      </c>
      <c r="G81">
        <v>0</v>
      </c>
      <c r="H81">
        <v>1</v>
      </c>
      <c r="I81">
        <v>0</v>
      </c>
    </row>
    <row r="82" spans="1:9" x14ac:dyDescent="0.3">
      <c r="A82" t="s">
        <v>34</v>
      </c>
      <c r="B82" t="s">
        <v>0</v>
      </c>
      <c r="C82">
        <v>1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</row>
    <row r="83" spans="1:9" x14ac:dyDescent="0.3">
      <c r="A83" t="s">
        <v>33</v>
      </c>
      <c r="B83" t="s">
        <v>0</v>
      </c>
      <c r="C83">
        <v>1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</row>
    <row r="84" spans="1:9" x14ac:dyDescent="0.3">
      <c r="A84" t="s">
        <v>32</v>
      </c>
      <c r="B84" t="s">
        <v>0</v>
      </c>
      <c r="C84">
        <v>1</v>
      </c>
      <c r="D84">
        <v>0</v>
      </c>
      <c r="E84">
        <v>0</v>
      </c>
      <c r="F84">
        <v>0</v>
      </c>
      <c r="G84">
        <v>1</v>
      </c>
      <c r="H84">
        <v>1</v>
      </c>
      <c r="I84">
        <v>0</v>
      </c>
    </row>
    <row r="85" spans="1:9" x14ac:dyDescent="0.3">
      <c r="A85" t="s">
        <v>31</v>
      </c>
      <c r="B85" t="s">
        <v>0</v>
      </c>
      <c r="C85">
        <v>1</v>
      </c>
      <c r="D85">
        <v>0</v>
      </c>
      <c r="E85">
        <v>0</v>
      </c>
      <c r="F85">
        <v>0</v>
      </c>
      <c r="G85">
        <v>1</v>
      </c>
      <c r="H85">
        <v>1</v>
      </c>
      <c r="I85">
        <v>0</v>
      </c>
    </row>
    <row r="86" spans="1:9" x14ac:dyDescent="0.3">
      <c r="A86" t="s">
        <v>30</v>
      </c>
      <c r="B86" t="s">
        <v>0</v>
      </c>
      <c r="C86">
        <v>1</v>
      </c>
      <c r="D86">
        <v>0</v>
      </c>
      <c r="E86">
        <v>0</v>
      </c>
      <c r="F86">
        <v>0</v>
      </c>
      <c r="G86">
        <v>1</v>
      </c>
      <c r="H86">
        <v>1</v>
      </c>
      <c r="I86">
        <v>0</v>
      </c>
    </row>
    <row r="87" spans="1:9" x14ac:dyDescent="0.3">
      <c r="A87" t="s">
        <v>29</v>
      </c>
      <c r="B87" t="s">
        <v>0</v>
      </c>
      <c r="C87">
        <v>1</v>
      </c>
      <c r="D87">
        <v>0</v>
      </c>
      <c r="E87">
        <v>0</v>
      </c>
      <c r="F87">
        <v>0</v>
      </c>
      <c r="G87">
        <v>0</v>
      </c>
      <c r="H87">
        <v>0</v>
      </c>
      <c r="I87">
        <v>1</v>
      </c>
    </row>
    <row r="88" spans="1:9" x14ac:dyDescent="0.3">
      <c r="A88" t="s">
        <v>28</v>
      </c>
      <c r="B88" t="s">
        <v>0</v>
      </c>
      <c r="C88">
        <v>1</v>
      </c>
      <c r="D88">
        <v>0</v>
      </c>
      <c r="E88">
        <v>0</v>
      </c>
      <c r="F88">
        <v>0</v>
      </c>
      <c r="G88">
        <v>0</v>
      </c>
      <c r="H88">
        <v>0</v>
      </c>
      <c r="I88">
        <v>1</v>
      </c>
    </row>
    <row r="89" spans="1:9" x14ac:dyDescent="0.3">
      <c r="A89" t="s">
        <v>27</v>
      </c>
      <c r="B89" t="s">
        <v>0</v>
      </c>
      <c r="C89">
        <v>1</v>
      </c>
      <c r="D89">
        <v>0</v>
      </c>
      <c r="E89">
        <v>0</v>
      </c>
      <c r="F89">
        <v>0</v>
      </c>
      <c r="G89">
        <v>0</v>
      </c>
      <c r="H89">
        <v>0</v>
      </c>
      <c r="I89">
        <v>1</v>
      </c>
    </row>
    <row r="90" spans="1:9" x14ac:dyDescent="0.3">
      <c r="A90" t="s">
        <v>26</v>
      </c>
      <c r="B90" t="s">
        <v>0</v>
      </c>
      <c r="C90">
        <v>1</v>
      </c>
      <c r="D90">
        <v>0</v>
      </c>
      <c r="E90">
        <v>0</v>
      </c>
      <c r="F90">
        <v>0</v>
      </c>
      <c r="G90">
        <v>0</v>
      </c>
      <c r="H90">
        <v>0</v>
      </c>
      <c r="I90">
        <v>1</v>
      </c>
    </row>
    <row r="91" spans="1:9" x14ac:dyDescent="0.3">
      <c r="A91" t="s">
        <v>25</v>
      </c>
      <c r="B91" t="s">
        <v>0</v>
      </c>
      <c r="C91">
        <v>1</v>
      </c>
      <c r="D91">
        <v>0</v>
      </c>
      <c r="E91">
        <v>0</v>
      </c>
      <c r="F91">
        <v>0</v>
      </c>
      <c r="G91">
        <v>0</v>
      </c>
      <c r="H91">
        <v>0</v>
      </c>
      <c r="I91">
        <v>1</v>
      </c>
    </row>
    <row r="92" spans="1:9" x14ac:dyDescent="0.3">
      <c r="A92" t="s">
        <v>24</v>
      </c>
      <c r="B92" t="s">
        <v>0</v>
      </c>
      <c r="C92">
        <v>1</v>
      </c>
      <c r="D92">
        <v>0</v>
      </c>
      <c r="E92">
        <v>0</v>
      </c>
      <c r="F92">
        <v>0</v>
      </c>
      <c r="G92">
        <v>0</v>
      </c>
      <c r="H92">
        <v>0</v>
      </c>
      <c r="I92">
        <v>1</v>
      </c>
    </row>
    <row r="93" spans="1:9" x14ac:dyDescent="0.3">
      <c r="A93" t="s">
        <v>23</v>
      </c>
      <c r="B93" t="s">
        <v>0</v>
      </c>
      <c r="C93">
        <v>1</v>
      </c>
      <c r="D93">
        <v>0</v>
      </c>
      <c r="E93">
        <v>0</v>
      </c>
      <c r="F93">
        <v>0</v>
      </c>
      <c r="G93">
        <v>0</v>
      </c>
      <c r="H93">
        <v>0</v>
      </c>
      <c r="I93">
        <v>1</v>
      </c>
    </row>
    <row r="94" spans="1:9" x14ac:dyDescent="0.3">
      <c r="A94" t="s">
        <v>22</v>
      </c>
      <c r="B94" t="s">
        <v>0</v>
      </c>
      <c r="C94">
        <v>1</v>
      </c>
      <c r="D94">
        <v>0</v>
      </c>
      <c r="E94">
        <v>0</v>
      </c>
      <c r="F94">
        <v>0</v>
      </c>
      <c r="G94">
        <v>0</v>
      </c>
      <c r="H94">
        <v>0</v>
      </c>
      <c r="I94">
        <v>1</v>
      </c>
    </row>
    <row r="95" spans="1:9" x14ac:dyDescent="0.3">
      <c r="A95" t="s">
        <v>21</v>
      </c>
      <c r="B95" t="s">
        <v>0</v>
      </c>
      <c r="C95">
        <v>1</v>
      </c>
      <c r="D95">
        <v>0</v>
      </c>
      <c r="E95">
        <v>0</v>
      </c>
      <c r="F95">
        <v>0</v>
      </c>
      <c r="G95">
        <v>0</v>
      </c>
      <c r="H95">
        <v>0</v>
      </c>
      <c r="I95">
        <v>1</v>
      </c>
    </row>
    <row r="96" spans="1:9" x14ac:dyDescent="0.3">
      <c r="A96" t="s">
        <v>20</v>
      </c>
      <c r="B96" t="s">
        <v>0</v>
      </c>
      <c r="C96">
        <v>1</v>
      </c>
      <c r="D96">
        <v>0</v>
      </c>
      <c r="E96">
        <v>0</v>
      </c>
      <c r="F96">
        <v>0</v>
      </c>
      <c r="G96">
        <v>0</v>
      </c>
      <c r="H96">
        <v>0</v>
      </c>
      <c r="I96">
        <v>1</v>
      </c>
    </row>
    <row r="97" spans="1:9" x14ac:dyDescent="0.3">
      <c r="A97" t="s">
        <v>19</v>
      </c>
      <c r="B97" t="s">
        <v>0</v>
      </c>
      <c r="C97">
        <v>1</v>
      </c>
      <c r="D97">
        <v>0</v>
      </c>
      <c r="E97">
        <v>0</v>
      </c>
      <c r="F97">
        <v>0</v>
      </c>
      <c r="G97">
        <v>0</v>
      </c>
      <c r="H97">
        <v>0</v>
      </c>
      <c r="I97">
        <v>1</v>
      </c>
    </row>
    <row r="98" spans="1:9" x14ac:dyDescent="0.3">
      <c r="A98" t="s">
        <v>18</v>
      </c>
      <c r="B98" t="s">
        <v>0</v>
      </c>
      <c r="C98">
        <v>1</v>
      </c>
      <c r="D98">
        <v>0</v>
      </c>
      <c r="E98">
        <v>0</v>
      </c>
      <c r="F98">
        <v>0</v>
      </c>
      <c r="G98">
        <v>0</v>
      </c>
      <c r="H98">
        <v>0</v>
      </c>
      <c r="I98">
        <v>1</v>
      </c>
    </row>
    <row r="99" spans="1:9" x14ac:dyDescent="0.3">
      <c r="A99" t="s">
        <v>17</v>
      </c>
      <c r="B99" t="s">
        <v>0</v>
      </c>
      <c r="C99">
        <v>1</v>
      </c>
      <c r="D99">
        <v>0</v>
      </c>
      <c r="E99">
        <v>0</v>
      </c>
      <c r="F99">
        <v>0</v>
      </c>
      <c r="G99">
        <v>0</v>
      </c>
      <c r="H99">
        <v>0</v>
      </c>
      <c r="I99">
        <v>1</v>
      </c>
    </row>
    <row r="100" spans="1:9" x14ac:dyDescent="0.3">
      <c r="A100" t="s">
        <v>16</v>
      </c>
      <c r="B100" t="s">
        <v>0</v>
      </c>
      <c r="C100">
        <v>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1</v>
      </c>
    </row>
    <row r="101" spans="1:9" x14ac:dyDescent="0.3">
      <c r="A101" t="s">
        <v>15</v>
      </c>
      <c r="B101" t="s">
        <v>0</v>
      </c>
      <c r="C101">
        <v>1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1</v>
      </c>
    </row>
    <row r="102" spans="1:9" x14ac:dyDescent="0.3">
      <c r="A102" t="s">
        <v>14</v>
      </c>
      <c r="B102" t="s">
        <v>0</v>
      </c>
      <c r="C102">
        <v>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1</v>
      </c>
    </row>
    <row r="103" spans="1:9" x14ac:dyDescent="0.3">
      <c r="A103" t="s">
        <v>13</v>
      </c>
      <c r="B103" t="s">
        <v>0</v>
      </c>
      <c r="C103">
        <v>1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1</v>
      </c>
    </row>
    <row r="104" spans="1:9" x14ac:dyDescent="0.3">
      <c r="A104" t="s">
        <v>12</v>
      </c>
      <c r="B104" t="s">
        <v>0</v>
      </c>
      <c r="C104">
        <v>1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1</v>
      </c>
    </row>
    <row r="105" spans="1:9" x14ac:dyDescent="0.3">
      <c r="A105" t="s">
        <v>11</v>
      </c>
      <c r="B105" t="s">
        <v>0</v>
      </c>
      <c r="C105">
        <v>1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1</v>
      </c>
    </row>
    <row r="106" spans="1:9" x14ac:dyDescent="0.3">
      <c r="A106" t="s">
        <v>10</v>
      </c>
      <c r="B106" t="s">
        <v>0</v>
      </c>
      <c r="C106">
        <v>1</v>
      </c>
      <c r="D106">
        <v>0</v>
      </c>
      <c r="E106">
        <v>0</v>
      </c>
      <c r="F106">
        <v>0</v>
      </c>
      <c r="G106">
        <v>0</v>
      </c>
      <c r="H106">
        <v>0</v>
      </c>
      <c r="I106">
        <v>1</v>
      </c>
    </row>
    <row r="107" spans="1:9" x14ac:dyDescent="0.3">
      <c r="A107" t="s">
        <v>9</v>
      </c>
      <c r="B107" t="s">
        <v>0</v>
      </c>
      <c r="C107">
        <v>1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1</v>
      </c>
    </row>
    <row r="108" spans="1:9" x14ac:dyDescent="0.3">
      <c r="A108" t="s">
        <v>8</v>
      </c>
      <c r="B108" t="s">
        <v>0</v>
      </c>
      <c r="C108">
        <v>1</v>
      </c>
      <c r="D108">
        <v>0</v>
      </c>
      <c r="E108">
        <v>0</v>
      </c>
      <c r="F108">
        <v>0</v>
      </c>
      <c r="G108">
        <v>0</v>
      </c>
      <c r="H108">
        <v>0</v>
      </c>
      <c r="I108">
        <v>1</v>
      </c>
    </row>
    <row r="109" spans="1:9" x14ac:dyDescent="0.3">
      <c r="A109" t="s">
        <v>7</v>
      </c>
      <c r="B109" t="s">
        <v>0</v>
      </c>
      <c r="C109">
        <v>1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1</v>
      </c>
    </row>
    <row r="110" spans="1:9" x14ac:dyDescent="0.3">
      <c r="A110" t="s">
        <v>6</v>
      </c>
      <c r="B110" t="s">
        <v>0</v>
      </c>
      <c r="C110">
        <v>1</v>
      </c>
      <c r="D110">
        <v>0</v>
      </c>
      <c r="E110">
        <v>0</v>
      </c>
      <c r="F110">
        <v>0</v>
      </c>
      <c r="G110">
        <v>0</v>
      </c>
      <c r="H110">
        <v>0</v>
      </c>
      <c r="I110">
        <v>1</v>
      </c>
    </row>
    <row r="111" spans="1:9" x14ac:dyDescent="0.3">
      <c r="A111" t="s">
        <v>5</v>
      </c>
      <c r="B111" t="s">
        <v>0</v>
      </c>
      <c r="C111">
        <v>1</v>
      </c>
      <c r="D111">
        <v>0</v>
      </c>
      <c r="E111">
        <v>0</v>
      </c>
      <c r="F111">
        <v>0</v>
      </c>
      <c r="G111">
        <v>0</v>
      </c>
      <c r="H111">
        <v>0</v>
      </c>
      <c r="I111">
        <v>1</v>
      </c>
    </row>
    <row r="112" spans="1:9" x14ac:dyDescent="0.3">
      <c r="A112" t="s">
        <v>4</v>
      </c>
      <c r="B112" t="s">
        <v>0</v>
      </c>
      <c r="C112">
        <v>1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1</v>
      </c>
    </row>
    <row r="113" spans="1:9" x14ac:dyDescent="0.3">
      <c r="A113" t="s">
        <v>3</v>
      </c>
      <c r="B113" t="s">
        <v>0</v>
      </c>
      <c r="C113">
        <v>1</v>
      </c>
      <c r="D113">
        <v>0</v>
      </c>
      <c r="E113">
        <v>0</v>
      </c>
      <c r="F113">
        <v>0</v>
      </c>
      <c r="G113">
        <v>0</v>
      </c>
      <c r="H113">
        <v>0</v>
      </c>
      <c r="I113">
        <v>1</v>
      </c>
    </row>
    <row r="114" spans="1:9" x14ac:dyDescent="0.3">
      <c r="A114" t="s">
        <v>2</v>
      </c>
      <c r="B114" t="s">
        <v>0</v>
      </c>
      <c r="C114">
        <v>1</v>
      </c>
      <c r="D114">
        <v>0</v>
      </c>
      <c r="E114">
        <v>0</v>
      </c>
      <c r="F114">
        <v>0</v>
      </c>
      <c r="G114">
        <v>0</v>
      </c>
      <c r="H114">
        <v>0</v>
      </c>
      <c r="I114">
        <v>1</v>
      </c>
    </row>
    <row r="115" spans="1:9" x14ac:dyDescent="0.3">
      <c r="A115" t="s">
        <v>1</v>
      </c>
      <c r="B115" t="s">
        <v>0</v>
      </c>
      <c r="C115">
        <v>1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7D3854-3E5F-4891-91F2-07FD1DAF7D5E}">
  <dimension ref="A1:R117"/>
  <sheetViews>
    <sheetView topLeftCell="F44" workbookViewId="0">
      <selection activeCell="P114" sqref="P114"/>
    </sheetView>
  </sheetViews>
  <sheetFormatPr defaultRowHeight="14.4" x14ac:dyDescent="0.3"/>
  <cols>
    <col min="1" max="1" width="42.109375" bestFit="1" customWidth="1"/>
    <col min="2" max="2" width="13.77734375" bestFit="1" customWidth="1"/>
    <col min="3" max="3" width="10.5546875" bestFit="1" customWidth="1"/>
    <col min="4" max="4" width="6.33203125" bestFit="1" customWidth="1"/>
    <col min="5" max="5" width="15.77734375" bestFit="1" customWidth="1"/>
    <col min="6" max="6" width="18" bestFit="1" customWidth="1"/>
    <col min="7" max="7" width="15.109375" bestFit="1" customWidth="1"/>
    <col min="8" max="8" width="39.109375" bestFit="1" customWidth="1"/>
    <col min="9" max="9" width="17.88671875" bestFit="1" customWidth="1"/>
    <col min="10" max="10" width="17.21875" bestFit="1" customWidth="1"/>
    <col min="11" max="11" width="12.88671875" bestFit="1" customWidth="1"/>
    <col min="12" max="12" width="18" bestFit="1" customWidth="1"/>
    <col min="13" max="13" width="20" bestFit="1" customWidth="1"/>
    <col min="14" max="14" width="16.21875" bestFit="1" customWidth="1"/>
    <col min="15" max="15" width="17.44140625" bestFit="1" customWidth="1"/>
    <col min="16" max="16" width="28" bestFit="1" customWidth="1"/>
    <col min="17" max="17" width="24.109375" bestFit="1" customWidth="1"/>
    <col min="18" max="18" width="23" bestFit="1" customWidth="1"/>
  </cols>
  <sheetData>
    <row r="1" spans="1:18" x14ac:dyDescent="0.3">
      <c r="A1" t="s">
        <v>123</v>
      </c>
      <c r="B1" t="s">
        <v>122</v>
      </c>
      <c r="C1" t="s">
        <v>249</v>
      </c>
      <c r="D1" t="s">
        <v>248</v>
      </c>
      <c r="E1" t="s">
        <v>247</v>
      </c>
      <c r="F1" t="s">
        <v>246</v>
      </c>
      <c r="G1" t="s">
        <v>245</v>
      </c>
      <c r="H1" t="s">
        <v>244</v>
      </c>
      <c r="I1" t="s">
        <v>243</v>
      </c>
      <c r="J1" t="s">
        <v>242</v>
      </c>
      <c r="K1" t="s">
        <v>241</v>
      </c>
      <c r="L1" t="s">
        <v>240</v>
      </c>
      <c r="M1" t="s">
        <v>239</v>
      </c>
      <c r="N1" t="s">
        <v>238</v>
      </c>
      <c r="O1" t="s">
        <v>237</v>
      </c>
      <c r="P1" t="s">
        <v>236</v>
      </c>
      <c r="Q1" t="s">
        <v>235</v>
      </c>
      <c r="R1" t="s">
        <v>234</v>
      </c>
    </row>
    <row r="2" spans="1:18" x14ac:dyDescent="0.3">
      <c r="A2" t="s">
        <v>181</v>
      </c>
      <c r="B2" t="s">
        <v>176</v>
      </c>
      <c r="C2" t="s">
        <v>231</v>
      </c>
      <c r="D2" t="s">
        <v>228</v>
      </c>
      <c r="E2">
        <v>1</v>
      </c>
      <c r="F2" s="1">
        <v>43922</v>
      </c>
      <c r="G2">
        <v>1</v>
      </c>
      <c r="H2" t="s">
        <v>227</v>
      </c>
      <c r="I2" s="1">
        <v>43928</v>
      </c>
      <c r="J2" s="1">
        <v>43942</v>
      </c>
      <c r="K2">
        <v>100</v>
      </c>
      <c r="L2">
        <v>14</v>
      </c>
      <c r="M2">
        <v>11</v>
      </c>
      <c r="N2">
        <v>45</v>
      </c>
      <c r="O2">
        <v>0</v>
      </c>
      <c r="P2">
        <v>0</v>
      </c>
      <c r="Q2">
        <v>0</v>
      </c>
      <c r="R2">
        <v>3</v>
      </c>
    </row>
    <row r="3" spans="1:18" x14ac:dyDescent="0.3">
      <c r="A3" t="s">
        <v>195</v>
      </c>
      <c r="B3" t="s">
        <v>176</v>
      </c>
      <c r="C3" t="s">
        <v>231</v>
      </c>
      <c r="D3" t="s">
        <v>228</v>
      </c>
      <c r="E3">
        <v>1</v>
      </c>
      <c r="F3" s="1">
        <v>43922</v>
      </c>
      <c r="G3">
        <v>1</v>
      </c>
      <c r="H3" t="s">
        <v>227</v>
      </c>
      <c r="I3" s="1">
        <v>43913</v>
      </c>
      <c r="J3" s="1">
        <v>43984</v>
      </c>
      <c r="K3">
        <v>100</v>
      </c>
      <c r="L3">
        <v>71</v>
      </c>
      <c r="M3">
        <v>12</v>
      </c>
      <c r="N3">
        <v>90</v>
      </c>
      <c r="O3">
        <v>0</v>
      </c>
      <c r="P3">
        <v>0</v>
      </c>
      <c r="Q3">
        <v>0</v>
      </c>
      <c r="R3">
        <v>59</v>
      </c>
    </row>
    <row r="4" spans="1:18" x14ac:dyDescent="0.3">
      <c r="A4" t="s">
        <v>180</v>
      </c>
      <c r="B4" t="s">
        <v>176</v>
      </c>
      <c r="C4" t="s">
        <v>229</v>
      </c>
      <c r="D4" t="s">
        <v>228</v>
      </c>
      <c r="E4">
        <v>1</v>
      </c>
      <c r="F4" s="1">
        <v>43800</v>
      </c>
      <c r="G4">
        <v>1</v>
      </c>
      <c r="H4" t="s">
        <v>227</v>
      </c>
      <c r="I4" s="1">
        <v>43797</v>
      </c>
      <c r="J4" s="1">
        <v>43816</v>
      </c>
      <c r="K4">
        <v>100</v>
      </c>
      <c r="L4">
        <v>19</v>
      </c>
      <c r="M4">
        <v>8</v>
      </c>
      <c r="N4">
        <v>45</v>
      </c>
      <c r="O4">
        <v>0</v>
      </c>
      <c r="P4">
        <v>0</v>
      </c>
      <c r="Q4">
        <v>0</v>
      </c>
      <c r="R4">
        <v>11</v>
      </c>
    </row>
    <row r="5" spans="1:18" x14ac:dyDescent="0.3">
      <c r="A5" t="s">
        <v>194</v>
      </c>
      <c r="B5" t="s">
        <v>176</v>
      </c>
      <c r="C5" t="s">
        <v>231</v>
      </c>
      <c r="D5" t="s">
        <v>228</v>
      </c>
      <c r="E5">
        <v>1</v>
      </c>
      <c r="F5" s="1">
        <v>44805</v>
      </c>
      <c r="G5">
        <v>1</v>
      </c>
      <c r="H5" t="s">
        <v>227</v>
      </c>
      <c r="I5" s="1">
        <v>44830</v>
      </c>
      <c r="J5" s="1">
        <v>44840</v>
      </c>
      <c r="K5">
        <v>100</v>
      </c>
      <c r="L5">
        <v>10</v>
      </c>
      <c r="M5">
        <v>3</v>
      </c>
      <c r="N5">
        <v>45</v>
      </c>
      <c r="O5">
        <v>0</v>
      </c>
      <c r="P5">
        <v>0</v>
      </c>
      <c r="Q5">
        <v>0</v>
      </c>
      <c r="R5">
        <v>7</v>
      </c>
    </row>
    <row r="6" spans="1:18" x14ac:dyDescent="0.3">
      <c r="A6" t="s">
        <v>179</v>
      </c>
      <c r="B6" t="s">
        <v>176</v>
      </c>
      <c r="C6" t="s">
        <v>231</v>
      </c>
      <c r="D6" t="s">
        <v>228</v>
      </c>
      <c r="E6">
        <v>1</v>
      </c>
      <c r="F6" s="1">
        <v>43922</v>
      </c>
      <c r="G6">
        <v>1</v>
      </c>
      <c r="H6" t="s">
        <v>227</v>
      </c>
      <c r="I6" s="1">
        <v>43941</v>
      </c>
      <c r="J6" s="1">
        <v>43943</v>
      </c>
      <c r="K6">
        <v>100</v>
      </c>
      <c r="L6">
        <v>2</v>
      </c>
      <c r="M6">
        <v>1</v>
      </c>
      <c r="N6">
        <v>45</v>
      </c>
      <c r="O6">
        <v>0</v>
      </c>
      <c r="P6">
        <v>0</v>
      </c>
      <c r="Q6">
        <v>0</v>
      </c>
      <c r="R6">
        <v>1</v>
      </c>
    </row>
    <row r="7" spans="1:18" x14ac:dyDescent="0.3">
      <c r="A7" t="s">
        <v>193</v>
      </c>
      <c r="B7" t="s">
        <v>176</v>
      </c>
      <c r="C7" t="s">
        <v>230</v>
      </c>
      <c r="D7" t="s">
        <v>228</v>
      </c>
      <c r="E7">
        <v>1</v>
      </c>
      <c r="F7" s="1">
        <v>45505</v>
      </c>
      <c r="G7">
        <v>1</v>
      </c>
      <c r="H7" t="s">
        <v>227</v>
      </c>
      <c r="I7" s="1">
        <v>45516</v>
      </c>
      <c r="J7" s="1">
        <v>45538</v>
      </c>
      <c r="K7">
        <v>100</v>
      </c>
      <c r="L7">
        <v>22</v>
      </c>
      <c r="M7">
        <v>10</v>
      </c>
      <c r="N7">
        <v>45</v>
      </c>
      <c r="O7">
        <v>0</v>
      </c>
      <c r="P7">
        <v>0</v>
      </c>
      <c r="Q7">
        <v>0</v>
      </c>
      <c r="R7">
        <v>12</v>
      </c>
    </row>
    <row r="8" spans="1:18" x14ac:dyDescent="0.3">
      <c r="A8" t="s">
        <v>183</v>
      </c>
      <c r="B8" t="s">
        <v>176</v>
      </c>
      <c r="C8" t="s">
        <v>231</v>
      </c>
      <c r="D8" t="s">
        <v>228</v>
      </c>
      <c r="E8">
        <v>1</v>
      </c>
      <c r="F8" s="1">
        <v>43891</v>
      </c>
      <c r="G8">
        <v>1</v>
      </c>
      <c r="H8" t="s">
        <v>227</v>
      </c>
      <c r="I8" s="1">
        <v>43897</v>
      </c>
      <c r="J8" s="1">
        <v>43941</v>
      </c>
      <c r="K8">
        <v>100</v>
      </c>
      <c r="L8">
        <v>44</v>
      </c>
      <c r="M8">
        <v>2</v>
      </c>
      <c r="N8">
        <v>90</v>
      </c>
      <c r="O8">
        <v>0</v>
      </c>
      <c r="P8">
        <v>0</v>
      </c>
      <c r="Q8">
        <v>0</v>
      </c>
      <c r="R8">
        <v>42</v>
      </c>
    </row>
    <row r="9" spans="1:18" x14ac:dyDescent="0.3">
      <c r="A9" t="s">
        <v>192</v>
      </c>
      <c r="B9" t="s">
        <v>176</v>
      </c>
      <c r="C9" t="s">
        <v>230</v>
      </c>
      <c r="D9" t="s">
        <v>228</v>
      </c>
      <c r="E9">
        <v>1</v>
      </c>
      <c r="F9" s="1">
        <v>45717</v>
      </c>
      <c r="G9">
        <v>1</v>
      </c>
      <c r="H9" t="s">
        <v>227</v>
      </c>
      <c r="I9" s="1">
        <v>45744</v>
      </c>
      <c r="J9" s="1">
        <v>45749</v>
      </c>
      <c r="K9">
        <v>100</v>
      </c>
      <c r="L9">
        <v>5</v>
      </c>
      <c r="M9">
        <v>2</v>
      </c>
      <c r="N9">
        <v>45</v>
      </c>
      <c r="O9">
        <v>0</v>
      </c>
      <c r="P9">
        <v>0</v>
      </c>
      <c r="Q9">
        <v>0</v>
      </c>
      <c r="R9">
        <v>3</v>
      </c>
    </row>
    <row r="10" spans="1:18" x14ac:dyDescent="0.3">
      <c r="A10" t="s">
        <v>191</v>
      </c>
      <c r="B10" t="s">
        <v>176</v>
      </c>
      <c r="C10" t="s">
        <v>231</v>
      </c>
      <c r="D10" t="s">
        <v>228</v>
      </c>
      <c r="E10">
        <v>1</v>
      </c>
      <c r="F10" s="1">
        <v>44835</v>
      </c>
      <c r="G10">
        <v>1</v>
      </c>
      <c r="H10" t="s">
        <v>227</v>
      </c>
      <c r="I10" s="1">
        <v>44852</v>
      </c>
      <c r="J10" s="1">
        <v>44854</v>
      </c>
      <c r="K10">
        <v>100</v>
      </c>
      <c r="L10">
        <v>2</v>
      </c>
      <c r="M10">
        <v>1</v>
      </c>
      <c r="N10">
        <v>45</v>
      </c>
      <c r="O10">
        <v>0</v>
      </c>
      <c r="P10">
        <v>0</v>
      </c>
      <c r="Q10">
        <v>0</v>
      </c>
      <c r="R10">
        <v>1</v>
      </c>
    </row>
    <row r="11" spans="1:18" x14ac:dyDescent="0.3">
      <c r="A11" t="s">
        <v>191</v>
      </c>
      <c r="B11" t="s">
        <v>176</v>
      </c>
      <c r="C11" t="s">
        <v>230</v>
      </c>
      <c r="D11" t="s">
        <v>228</v>
      </c>
      <c r="E11">
        <v>2</v>
      </c>
      <c r="F11" s="1">
        <v>45170</v>
      </c>
      <c r="G11">
        <v>0.66</v>
      </c>
      <c r="H11" t="s">
        <v>227</v>
      </c>
      <c r="I11" s="1">
        <v>45166</v>
      </c>
      <c r="J11" s="1">
        <v>45168</v>
      </c>
      <c r="K11">
        <v>100</v>
      </c>
      <c r="L11">
        <v>2</v>
      </c>
      <c r="M11">
        <v>1</v>
      </c>
      <c r="N11">
        <v>45</v>
      </c>
      <c r="O11">
        <v>0</v>
      </c>
      <c r="P11">
        <v>0</v>
      </c>
      <c r="Q11">
        <v>0</v>
      </c>
      <c r="R11">
        <v>1</v>
      </c>
    </row>
    <row r="12" spans="1:18" x14ac:dyDescent="0.3">
      <c r="A12" t="s">
        <v>185</v>
      </c>
      <c r="B12" t="s">
        <v>176</v>
      </c>
      <c r="C12" t="s">
        <v>229</v>
      </c>
      <c r="D12" t="s">
        <v>228</v>
      </c>
      <c r="E12">
        <v>1</v>
      </c>
      <c r="F12" s="1">
        <v>42036</v>
      </c>
      <c r="G12">
        <v>1</v>
      </c>
      <c r="H12" t="s">
        <v>227</v>
      </c>
      <c r="I12" s="1">
        <v>42005</v>
      </c>
      <c r="J12" s="1">
        <v>42081</v>
      </c>
      <c r="K12">
        <v>100</v>
      </c>
      <c r="L12">
        <v>76</v>
      </c>
      <c r="M12">
        <v>30</v>
      </c>
      <c r="N12">
        <v>45</v>
      </c>
      <c r="O12">
        <v>1</v>
      </c>
      <c r="P12">
        <v>0</v>
      </c>
      <c r="Q12">
        <v>1</v>
      </c>
      <c r="R12">
        <v>46</v>
      </c>
    </row>
    <row r="13" spans="1:18" x14ac:dyDescent="0.3">
      <c r="A13" t="s">
        <v>190</v>
      </c>
      <c r="B13" t="s">
        <v>176</v>
      </c>
      <c r="C13" t="s">
        <v>229</v>
      </c>
      <c r="D13" t="s">
        <v>228</v>
      </c>
      <c r="E13">
        <v>1</v>
      </c>
      <c r="F13" s="1">
        <v>43282</v>
      </c>
      <c r="G13">
        <v>1</v>
      </c>
      <c r="H13" t="s">
        <v>227</v>
      </c>
      <c r="I13" s="1">
        <v>43293</v>
      </c>
      <c r="J13" s="1">
        <v>43331</v>
      </c>
      <c r="K13">
        <v>100</v>
      </c>
      <c r="L13">
        <v>38</v>
      </c>
      <c r="M13">
        <v>10</v>
      </c>
      <c r="N13">
        <v>90</v>
      </c>
      <c r="O13">
        <v>0</v>
      </c>
      <c r="P13">
        <v>0</v>
      </c>
      <c r="Q13">
        <v>0</v>
      </c>
      <c r="R13">
        <v>28</v>
      </c>
    </row>
    <row r="14" spans="1:18" x14ac:dyDescent="0.3">
      <c r="A14" t="s">
        <v>189</v>
      </c>
      <c r="B14" t="s">
        <v>176</v>
      </c>
      <c r="C14" t="s">
        <v>229</v>
      </c>
      <c r="D14" t="s">
        <v>228</v>
      </c>
      <c r="E14">
        <v>1</v>
      </c>
      <c r="F14" s="1">
        <v>42675</v>
      </c>
      <c r="G14">
        <v>1</v>
      </c>
      <c r="H14" t="s">
        <v>227</v>
      </c>
      <c r="I14" s="1">
        <v>42679</v>
      </c>
      <c r="J14" s="1">
        <v>42717</v>
      </c>
      <c r="K14">
        <v>100</v>
      </c>
      <c r="L14">
        <v>38</v>
      </c>
      <c r="M14">
        <v>11</v>
      </c>
      <c r="N14">
        <v>45</v>
      </c>
      <c r="O14">
        <v>0</v>
      </c>
      <c r="P14">
        <v>0</v>
      </c>
      <c r="Q14">
        <v>0</v>
      </c>
      <c r="R14">
        <v>27</v>
      </c>
    </row>
    <row r="15" spans="1:18" x14ac:dyDescent="0.3">
      <c r="A15" t="s">
        <v>177</v>
      </c>
      <c r="B15" t="s">
        <v>176</v>
      </c>
      <c r="C15" t="s">
        <v>230</v>
      </c>
      <c r="D15" t="s">
        <v>228</v>
      </c>
      <c r="E15">
        <v>1</v>
      </c>
      <c r="F15" s="1">
        <v>45292</v>
      </c>
      <c r="G15">
        <v>1</v>
      </c>
      <c r="H15" t="s">
        <v>227</v>
      </c>
      <c r="I15" s="1">
        <v>45310</v>
      </c>
      <c r="J15" s="1">
        <v>45312</v>
      </c>
      <c r="K15">
        <v>100</v>
      </c>
      <c r="L15">
        <v>2</v>
      </c>
      <c r="M15">
        <v>1</v>
      </c>
      <c r="N15">
        <v>45</v>
      </c>
      <c r="O15">
        <v>0</v>
      </c>
      <c r="P15">
        <v>0</v>
      </c>
      <c r="Q15">
        <v>0</v>
      </c>
      <c r="R15">
        <v>1</v>
      </c>
    </row>
    <row r="16" spans="1:18" x14ac:dyDescent="0.3">
      <c r="A16" t="s">
        <v>188</v>
      </c>
      <c r="B16" t="s">
        <v>176</v>
      </c>
      <c r="C16" t="s">
        <v>231</v>
      </c>
      <c r="D16" t="s">
        <v>228</v>
      </c>
      <c r="E16">
        <v>1</v>
      </c>
      <c r="F16" s="1">
        <v>43862</v>
      </c>
      <c r="G16">
        <v>1</v>
      </c>
      <c r="H16" t="s">
        <v>227</v>
      </c>
      <c r="I16" s="1">
        <v>43871</v>
      </c>
      <c r="J16" s="1">
        <v>43901</v>
      </c>
      <c r="K16">
        <v>100</v>
      </c>
      <c r="L16">
        <v>30</v>
      </c>
      <c r="M16">
        <v>6</v>
      </c>
      <c r="N16">
        <v>45</v>
      </c>
      <c r="O16">
        <v>0</v>
      </c>
      <c r="P16">
        <v>0</v>
      </c>
      <c r="Q16">
        <v>0</v>
      </c>
      <c r="R16">
        <v>24</v>
      </c>
    </row>
    <row r="17" spans="1:18" x14ac:dyDescent="0.3">
      <c r="A17" t="s">
        <v>178</v>
      </c>
      <c r="B17" t="s">
        <v>176</v>
      </c>
      <c r="C17" t="s">
        <v>230</v>
      </c>
      <c r="D17" t="s">
        <v>228</v>
      </c>
      <c r="E17">
        <v>1</v>
      </c>
      <c r="F17" s="1">
        <v>45170</v>
      </c>
      <c r="G17">
        <v>1</v>
      </c>
      <c r="H17" t="s">
        <v>227</v>
      </c>
      <c r="I17" s="1">
        <v>45183</v>
      </c>
      <c r="J17" s="1">
        <v>45201</v>
      </c>
      <c r="K17">
        <v>100</v>
      </c>
      <c r="L17">
        <v>18</v>
      </c>
      <c r="M17">
        <v>2</v>
      </c>
      <c r="N17">
        <v>45</v>
      </c>
      <c r="O17">
        <v>0</v>
      </c>
      <c r="P17">
        <v>0</v>
      </c>
      <c r="Q17">
        <v>0</v>
      </c>
      <c r="R17">
        <v>16</v>
      </c>
    </row>
    <row r="18" spans="1:18" x14ac:dyDescent="0.3">
      <c r="A18" t="s">
        <v>184</v>
      </c>
      <c r="B18" t="s">
        <v>176</v>
      </c>
      <c r="C18" t="s">
        <v>229</v>
      </c>
      <c r="D18" t="s">
        <v>228</v>
      </c>
      <c r="E18">
        <v>1</v>
      </c>
      <c r="F18" s="1">
        <v>42491</v>
      </c>
      <c r="G18">
        <v>1</v>
      </c>
      <c r="H18" t="s">
        <v>227</v>
      </c>
      <c r="I18" s="1">
        <v>42480</v>
      </c>
      <c r="J18" s="1">
        <v>42527</v>
      </c>
      <c r="K18">
        <v>100</v>
      </c>
      <c r="L18">
        <v>47</v>
      </c>
      <c r="M18">
        <v>17</v>
      </c>
      <c r="N18">
        <v>45</v>
      </c>
      <c r="O18">
        <v>0</v>
      </c>
      <c r="P18">
        <v>0</v>
      </c>
      <c r="Q18">
        <v>0</v>
      </c>
      <c r="R18">
        <v>30</v>
      </c>
    </row>
    <row r="19" spans="1:18" x14ac:dyDescent="0.3">
      <c r="A19" t="s">
        <v>182</v>
      </c>
      <c r="B19" t="s">
        <v>176</v>
      </c>
      <c r="C19" t="s">
        <v>231</v>
      </c>
      <c r="D19" t="s">
        <v>228</v>
      </c>
      <c r="E19">
        <v>2</v>
      </c>
      <c r="F19" s="1">
        <v>44013</v>
      </c>
      <c r="G19">
        <v>1</v>
      </c>
      <c r="H19" t="s">
        <v>227</v>
      </c>
      <c r="I19" s="1">
        <v>43983</v>
      </c>
      <c r="J19" s="1">
        <v>43985</v>
      </c>
      <c r="K19">
        <v>100</v>
      </c>
      <c r="L19">
        <v>2</v>
      </c>
      <c r="M19">
        <v>1</v>
      </c>
      <c r="N19">
        <v>45</v>
      </c>
      <c r="O19">
        <v>0</v>
      </c>
      <c r="P19">
        <v>0</v>
      </c>
      <c r="Q19">
        <v>0</v>
      </c>
      <c r="R19">
        <v>1</v>
      </c>
    </row>
    <row r="20" spans="1:18" x14ac:dyDescent="0.3">
      <c r="A20" t="s">
        <v>187</v>
      </c>
      <c r="B20" t="s">
        <v>176</v>
      </c>
      <c r="C20" t="s">
        <v>229</v>
      </c>
      <c r="D20" t="s">
        <v>228</v>
      </c>
      <c r="E20">
        <v>1</v>
      </c>
      <c r="F20" s="1">
        <v>43101</v>
      </c>
      <c r="G20">
        <v>1</v>
      </c>
      <c r="H20" t="s">
        <v>227</v>
      </c>
      <c r="I20" s="1">
        <v>43112</v>
      </c>
      <c r="J20" s="1">
        <v>43129</v>
      </c>
      <c r="K20">
        <v>100</v>
      </c>
      <c r="L20">
        <v>17</v>
      </c>
      <c r="M20">
        <v>6</v>
      </c>
      <c r="N20">
        <v>45</v>
      </c>
      <c r="O20">
        <v>0</v>
      </c>
      <c r="P20">
        <v>0</v>
      </c>
      <c r="Q20">
        <v>0</v>
      </c>
      <c r="R20">
        <v>11</v>
      </c>
    </row>
    <row r="21" spans="1:18" x14ac:dyDescent="0.3">
      <c r="A21" t="s">
        <v>186</v>
      </c>
      <c r="B21" t="s">
        <v>176</v>
      </c>
      <c r="C21" t="s">
        <v>231</v>
      </c>
      <c r="D21" t="s">
        <v>228</v>
      </c>
      <c r="E21">
        <v>1</v>
      </c>
      <c r="F21" s="1">
        <v>43952</v>
      </c>
      <c r="G21">
        <v>1</v>
      </c>
      <c r="H21" t="s">
        <v>227</v>
      </c>
      <c r="I21" s="1">
        <v>43966</v>
      </c>
      <c r="J21" s="1">
        <v>44014</v>
      </c>
      <c r="K21">
        <v>100</v>
      </c>
      <c r="L21">
        <v>48</v>
      </c>
      <c r="M21">
        <v>7</v>
      </c>
      <c r="N21">
        <v>90</v>
      </c>
      <c r="O21">
        <v>0</v>
      </c>
      <c r="P21">
        <v>0</v>
      </c>
      <c r="Q21">
        <v>0</v>
      </c>
      <c r="R21">
        <v>41</v>
      </c>
    </row>
    <row r="22" spans="1:18" x14ac:dyDescent="0.3">
      <c r="A22" t="s">
        <v>136</v>
      </c>
      <c r="B22" t="s">
        <v>124</v>
      </c>
      <c r="C22" t="s">
        <v>229</v>
      </c>
      <c r="D22" t="s">
        <v>228</v>
      </c>
      <c r="E22">
        <v>1</v>
      </c>
      <c r="F22" s="1">
        <v>42005</v>
      </c>
      <c r="G22">
        <v>1</v>
      </c>
      <c r="H22" t="s">
        <v>227</v>
      </c>
      <c r="I22" s="1">
        <v>42005</v>
      </c>
      <c r="J22" s="1">
        <v>42030</v>
      </c>
      <c r="K22">
        <v>100</v>
      </c>
      <c r="L22">
        <v>25</v>
      </c>
      <c r="M22">
        <v>10</v>
      </c>
      <c r="N22">
        <v>45</v>
      </c>
      <c r="O22">
        <v>1</v>
      </c>
      <c r="P22">
        <v>0</v>
      </c>
      <c r="Q22">
        <v>1</v>
      </c>
      <c r="R22">
        <v>15</v>
      </c>
    </row>
    <row r="23" spans="1:18" x14ac:dyDescent="0.3">
      <c r="A23" t="s">
        <v>141</v>
      </c>
      <c r="B23" t="s">
        <v>124</v>
      </c>
      <c r="C23" t="s">
        <v>231</v>
      </c>
      <c r="D23" t="s">
        <v>228</v>
      </c>
      <c r="E23">
        <v>1</v>
      </c>
      <c r="F23" s="1">
        <v>44896</v>
      </c>
      <c r="G23">
        <v>1</v>
      </c>
      <c r="H23" t="s">
        <v>227</v>
      </c>
      <c r="I23" s="1">
        <v>44892</v>
      </c>
      <c r="J23" s="1">
        <v>44902</v>
      </c>
      <c r="K23">
        <v>100</v>
      </c>
      <c r="L23">
        <v>10</v>
      </c>
      <c r="M23">
        <v>2</v>
      </c>
      <c r="N23">
        <v>45</v>
      </c>
      <c r="O23">
        <v>0</v>
      </c>
      <c r="P23">
        <v>0</v>
      </c>
      <c r="Q23">
        <v>0</v>
      </c>
      <c r="R23">
        <v>8</v>
      </c>
    </row>
    <row r="24" spans="1:18" x14ac:dyDescent="0.3">
      <c r="A24" t="s">
        <v>128</v>
      </c>
      <c r="B24" t="s">
        <v>124</v>
      </c>
      <c r="C24" t="s">
        <v>231</v>
      </c>
      <c r="D24" t="s">
        <v>228</v>
      </c>
      <c r="E24">
        <v>1</v>
      </c>
      <c r="F24" s="1">
        <v>44197</v>
      </c>
      <c r="G24">
        <v>1</v>
      </c>
      <c r="H24" t="s">
        <v>227</v>
      </c>
      <c r="I24" s="1">
        <v>44199</v>
      </c>
      <c r="J24" s="1">
        <v>44201</v>
      </c>
      <c r="K24">
        <v>100</v>
      </c>
      <c r="L24">
        <v>2</v>
      </c>
      <c r="M24">
        <v>1</v>
      </c>
      <c r="N24">
        <v>45</v>
      </c>
      <c r="O24">
        <v>0</v>
      </c>
      <c r="P24">
        <v>0</v>
      </c>
      <c r="Q24">
        <v>0</v>
      </c>
      <c r="R24">
        <v>1</v>
      </c>
    </row>
    <row r="25" spans="1:18" x14ac:dyDescent="0.3">
      <c r="A25" t="s">
        <v>131</v>
      </c>
      <c r="B25" t="s">
        <v>124</v>
      </c>
      <c r="C25" t="s">
        <v>231</v>
      </c>
      <c r="D25" t="s">
        <v>228</v>
      </c>
      <c r="E25">
        <v>1</v>
      </c>
      <c r="F25" s="1">
        <v>44197</v>
      </c>
      <c r="G25">
        <v>1</v>
      </c>
      <c r="H25" t="s">
        <v>227</v>
      </c>
      <c r="I25" s="1">
        <v>44216</v>
      </c>
      <c r="J25" s="1">
        <v>44224</v>
      </c>
      <c r="K25">
        <v>100</v>
      </c>
      <c r="L25">
        <v>8</v>
      </c>
      <c r="M25">
        <v>2</v>
      </c>
      <c r="N25">
        <v>45</v>
      </c>
      <c r="O25">
        <v>0</v>
      </c>
      <c r="P25">
        <v>0</v>
      </c>
      <c r="Q25">
        <v>0</v>
      </c>
      <c r="R25">
        <v>6</v>
      </c>
    </row>
    <row r="26" spans="1:18" x14ac:dyDescent="0.3">
      <c r="A26" t="s">
        <v>140</v>
      </c>
      <c r="B26" t="s">
        <v>124</v>
      </c>
      <c r="C26" t="s">
        <v>229</v>
      </c>
      <c r="D26" t="s">
        <v>228</v>
      </c>
      <c r="E26">
        <v>1</v>
      </c>
      <c r="F26" s="1">
        <v>42491</v>
      </c>
      <c r="G26">
        <v>1</v>
      </c>
      <c r="H26" t="s">
        <v>227</v>
      </c>
      <c r="I26" s="1">
        <v>42513</v>
      </c>
      <c r="J26" s="1">
        <v>42519</v>
      </c>
      <c r="K26">
        <v>100</v>
      </c>
      <c r="L26">
        <v>6</v>
      </c>
      <c r="M26">
        <v>2</v>
      </c>
      <c r="N26">
        <v>45</v>
      </c>
      <c r="O26">
        <v>0</v>
      </c>
      <c r="P26">
        <v>0</v>
      </c>
      <c r="Q26">
        <v>0</v>
      </c>
      <c r="R26">
        <v>4</v>
      </c>
    </row>
    <row r="27" spans="1:18" x14ac:dyDescent="0.3">
      <c r="A27" t="s">
        <v>125</v>
      </c>
      <c r="B27" t="s">
        <v>124</v>
      </c>
      <c r="C27" t="s">
        <v>230</v>
      </c>
      <c r="D27" t="s">
        <v>228</v>
      </c>
      <c r="E27">
        <v>1</v>
      </c>
      <c r="F27" s="1">
        <v>45839</v>
      </c>
      <c r="G27">
        <v>1</v>
      </c>
      <c r="H27" t="s">
        <v>227</v>
      </c>
      <c r="I27" s="1">
        <v>45856</v>
      </c>
      <c r="J27" s="1">
        <v>45859</v>
      </c>
      <c r="K27">
        <v>100</v>
      </c>
      <c r="L27">
        <v>3</v>
      </c>
      <c r="M27">
        <v>1</v>
      </c>
      <c r="N27">
        <v>45</v>
      </c>
      <c r="O27">
        <v>0</v>
      </c>
      <c r="P27">
        <v>0</v>
      </c>
      <c r="Q27">
        <v>0</v>
      </c>
      <c r="R27">
        <v>2</v>
      </c>
    </row>
    <row r="28" spans="1:18" x14ac:dyDescent="0.3">
      <c r="A28" t="s">
        <v>139</v>
      </c>
      <c r="B28" t="s">
        <v>124</v>
      </c>
      <c r="C28" t="s">
        <v>229</v>
      </c>
      <c r="D28" t="s">
        <v>228</v>
      </c>
      <c r="E28">
        <v>1</v>
      </c>
      <c r="F28" s="1">
        <v>42401</v>
      </c>
      <c r="G28">
        <v>1</v>
      </c>
      <c r="H28" t="s">
        <v>227</v>
      </c>
      <c r="I28" s="1">
        <v>42419</v>
      </c>
      <c r="J28" s="1">
        <v>42430</v>
      </c>
      <c r="K28">
        <v>100</v>
      </c>
      <c r="L28">
        <v>11</v>
      </c>
      <c r="M28">
        <v>3</v>
      </c>
      <c r="N28">
        <v>45</v>
      </c>
      <c r="O28">
        <v>0</v>
      </c>
      <c r="P28">
        <v>0</v>
      </c>
      <c r="Q28">
        <v>0</v>
      </c>
      <c r="R28">
        <v>8</v>
      </c>
    </row>
    <row r="29" spans="1:18" x14ac:dyDescent="0.3">
      <c r="A29" t="s">
        <v>135</v>
      </c>
      <c r="B29" t="s">
        <v>124</v>
      </c>
      <c r="C29" t="s">
        <v>229</v>
      </c>
      <c r="D29" t="s">
        <v>228</v>
      </c>
      <c r="E29">
        <v>1</v>
      </c>
      <c r="F29" s="1">
        <v>42979</v>
      </c>
      <c r="G29">
        <v>1</v>
      </c>
      <c r="H29" t="s">
        <v>227</v>
      </c>
      <c r="I29" s="1">
        <v>42971</v>
      </c>
      <c r="J29" s="1">
        <v>42992</v>
      </c>
      <c r="K29">
        <v>100</v>
      </c>
      <c r="L29">
        <v>21</v>
      </c>
      <c r="M29">
        <v>5</v>
      </c>
      <c r="N29">
        <v>45</v>
      </c>
      <c r="O29">
        <v>0</v>
      </c>
      <c r="P29">
        <v>0</v>
      </c>
      <c r="Q29">
        <v>0</v>
      </c>
      <c r="R29">
        <v>16</v>
      </c>
    </row>
    <row r="30" spans="1:18" x14ac:dyDescent="0.3">
      <c r="A30" t="s">
        <v>138</v>
      </c>
      <c r="B30" t="s">
        <v>124</v>
      </c>
      <c r="C30" t="s">
        <v>231</v>
      </c>
      <c r="D30" t="s">
        <v>228</v>
      </c>
      <c r="E30">
        <v>1</v>
      </c>
      <c r="F30" s="1">
        <v>44228</v>
      </c>
      <c r="G30">
        <v>1</v>
      </c>
      <c r="H30" t="s">
        <v>227</v>
      </c>
      <c r="I30" s="1">
        <v>44233</v>
      </c>
      <c r="J30" s="1">
        <v>44248</v>
      </c>
      <c r="K30">
        <v>100</v>
      </c>
      <c r="L30">
        <v>15</v>
      </c>
      <c r="M30">
        <v>6</v>
      </c>
      <c r="N30">
        <v>45</v>
      </c>
      <c r="O30">
        <v>0</v>
      </c>
      <c r="P30">
        <v>0</v>
      </c>
      <c r="Q30">
        <v>0</v>
      </c>
      <c r="R30">
        <v>9</v>
      </c>
    </row>
    <row r="31" spans="1:18" x14ac:dyDescent="0.3">
      <c r="A31" t="s">
        <v>127</v>
      </c>
      <c r="B31" t="s">
        <v>124</v>
      </c>
      <c r="C31" t="s">
        <v>230</v>
      </c>
      <c r="D31" t="s">
        <v>228</v>
      </c>
      <c r="E31">
        <v>1</v>
      </c>
      <c r="F31" s="1">
        <v>45108</v>
      </c>
      <c r="G31">
        <v>1</v>
      </c>
      <c r="H31" t="s">
        <v>227</v>
      </c>
      <c r="I31" s="1">
        <v>45102</v>
      </c>
      <c r="J31" s="1">
        <v>45118</v>
      </c>
      <c r="K31">
        <v>100</v>
      </c>
      <c r="L31">
        <v>16</v>
      </c>
      <c r="M31">
        <v>4</v>
      </c>
      <c r="N31">
        <v>45</v>
      </c>
      <c r="O31">
        <v>0</v>
      </c>
      <c r="P31">
        <v>0</v>
      </c>
      <c r="Q31">
        <v>0</v>
      </c>
      <c r="R31">
        <v>12</v>
      </c>
    </row>
    <row r="32" spans="1:18" x14ac:dyDescent="0.3">
      <c r="A32" t="s">
        <v>132</v>
      </c>
      <c r="B32" t="s">
        <v>124</v>
      </c>
      <c r="C32" t="s">
        <v>229</v>
      </c>
      <c r="D32" t="s">
        <v>228</v>
      </c>
      <c r="E32">
        <v>1</v>
      </c>
      <c r="F32" s="1">
        <v>42583</v>
      </c>
      <c r="G32">
        <v>1</v>
      </c>
      <c r="H32" t="s">
        <v>227</v>
      </c>
      <c r="I32" s="1">
        <v>42579</v>
      </c>
      <c r="J32" s="1">
        <v>42644</v>
      </c>
      <c r="K32">
        <v>100</v>
      </c>
      <c r="L32">
        <v>65</v>
      </c>
      <c r="M32">
        <v>26</v>
      </c>
      <c r="N32">
        <v>90</v>
      </c>
      <c r="O32">
        <v>0</v>
      </c>
      <c r="P32">
        <v>0</v>
      </c>
      <c r="Q32">
        <v>0</v>
      </c>
      <c r="R32">
        <v>39</v>
      </c>
    </row>
    <row r="33" spans="1:18" x14ac:dyDescent="0.3">
      <c r="A33" t="s">
        <v>134</v>
      </c>
      <c r="B33" t="s">
        <v>124</v>
      </c>
      <c r="C33" t="s">
        <v>229</v>
      </c>
      <c r="D33" t="s">
        <v>228</v>
      </c>
      <c r="E33">
        <v>1</v>
      </c>
      <c r="F33" s="1">
        <v>42036</v>
      </c>
      <c r="G33">
        <v>1</v>
      </c>
      <c r="H33" t="s">
        <v>227</v>
      </c>
      <c r="I33" s="1">
        <v>42036</v>
      </c>
      <c r="J33" s="1">
        <v>42045</v>
      </c>
      <c r="K33">
        <v>100</v>
      </c>
      <c r="L33">
        <v>9</v>
      </c>
      <c r="M33">
        <v>2</v>
      </c>
      <c r="N33">
        <v>45</v>
      </c>
      <c r="O33">
        <v>0</v>
      </c>
      <c r="P33">
        <v>0</v>
      </c>
      <c r="Q33">
        <v>0</v>
      </c>
      <c r="R33">
        <v>7</v>
      </c>
    </row>
    <row r="34" spans="1:18" x14ac:dyDescent="0.3">
      <c r="A34" t="s">
        <v>133</v>
      </c>
      <c r="B34" t="s">
        <v>124</v>
      </c>
      <c r="C34" t="s">
        <v>229</v>
      </c>
      <c r="D34" t="s">
        <v>228</v>
      </c>
      <c r="E34">
        <v>1</v>
      </c>
      <c r="F34" s="1">
        <v>43647</v>
      </c>
      <c r="G34">
        <v>1</v>
      </c>
      <c r="H34" t="s">
        <v>227</v>
      </c>
      <c r="I34" s="1">
        <v>43656</v>
      </c>
      <c r="J34" s="1">
        <v>43669</v>
      </c>
      <c r="K34">
        <v>100</v>
      </c>
      <c r="L34">
        <v>13</v>
      </c>
      <c r="M34">
        <v>3</v>
      </c>
      <c r="N34">
        <v>45</v>
      </c>
      <c r="O34">
        <v>0</v>
      </c>
      <c r="P34">
        <v>0</v>
      </c>
      <c r="Q34">
        <v>0</v>
      </c>
      <c r="R34">
        <v>10</v>
      </c>
    </row>
    <row r="35" spans="1:18" x14ac:dyDescent="0.3">
      <c r="A35" t="s">
        <v>126</v>
      </c>
      <c r="B35" t="s">
        <v>124</v>
      </c>
      <c r="C35" t="s">
        <v>230</v>
      </c>
      <c r="D35" t="s">
        <v>228</v>
      </c>
      <c r="E35">
        <v>1</v>
      </c>
      <c r="F35" s="1">
        <v>45870</v>
      </c>
      <c r="G35">
        <v>1</v>
      </c>
      <c r="H35" t="s">
        <v>227</v>
      </c>
      <c r="I35" s="1">
        <v>45866</v>
      </c>
      <c r="J35" s="1">
        <v>45878</v>
      </c>
      <c r="K35">
        <v>100</v>
      </c>
      <c r="L35">
        <v>12</v>
      </c>
      <c r="M35">
        <v>5</v>
      </c>
      <c r="N35">
        <v>45</v>
      </c>
      <c r="O35">
        <v>0</v>
      </c>
      <c r="P35">
        <v>0</v>
      </c>
      <c r="Q35">
        <v>0</v>
      </c>
      <c r="R35">
        <v>7</v>
      </c>
    </row>
    <row r="36" spans="1:18" x14ac:dyDescent="0.3">
      <c r="A36" t="s">
        <v>129</v>
      </c>
      <c r="B36" t="s">
        <v>124</v>
      </c>
      <c r="C36" t="s">
        <v>231</v>
      </c>
      <c r="D36" t="s">
        <v>228</v>
      </c>
      <c r="E36">
        <v>1</v>
      </c>
      <c r="F36" s="1">
        <v>44805</v>
      </c>
      <c r="G36">
        <v>1</v>
      </c>
      <c r="H36" t="s">
        <v>227</v>
      </c>
      <c r="I36" s="1">
        <v>44837</v>
      </c>
      <c r="J36" s="1">
        <v>44839</v>
      </c>
      <c r="K36">
        <v>100</v>
      </c>
      <c r="L36">
        <v>2</v>
      </c>
      <c r="M36">
        <v>1</v>
      </c>
      <c r="N36">
        <v>45</v>
      </c>
      <c r="O36">
        <v>0</v>
      </c>
      <c r="P36">
        <v>0</v>
      </c>
      <c r="Q36">
        <v>0</v>
      </c>
      <c r="R36">
        <v>1</v>
      </c>
    </row>
    <row r="37" spans="1:18" x14ac:dyDescent="0.3">
      <c r="A37" t="s">
        <v>130</v>
      </c>
      <c r="B37" t="s">
        <v>124</v>
      </c>
      <c r="C37" t="s">
        <v>231</v>
      </c>
      <c r="D37" t="s">
        <v>228</v>
      </c>
      <c r="E37">
        <v>1</v>
      </c>
      <c r="F37" s="1">
        <v>44621</v>
      </c>
      <c r="G37">
        <v>1</v>
      </c>
      <c r="H37" t="s">
        <v>227</v>
      </c>
      <c r="I37" s="1">
        <v>44647</v>
      </c>
      <c r="J37" s="1">
        <v>44650</v>
      </c>
      <c r="K37">
        <v>100</v>
      </c>
      <c r="L37">
        <v>3</v>
      </c>
      <c r="M37">
        <v>1</v>
      </c>
      <c r="N37">
        <v>45</v>
      </c>
      <c r="O37">
        <v>0</v>
      </c>
      <c r="P37">
        <v>0</v>
      </c>
      <c r="Q37">
        <v>0</v>
      </c>
      <c r="R37">
        <v>2</v>
      </c>
    </row>
    <row r="38" spans="1:18" x14ac:dyDescent="0.3">
      <c r="A38" t="s">
        <v>137</v>
      </c>
      <c r="B38" t="s">
        <v>124</v>
      </c>
      <c r="C38" t="s">
        <v>230</v>
      </c>
      <c r="D38" t="s">
        <v>228</v>
      </c>
      <c r="E38">
        <v>1</v>
      </c>
      <c r="F38" s="1">
        <v>45352</v>
      </c>
      <c r="G38">
        <v>1</v>
      </c>
      <c r="H38" t="s">
        <v>227</v>
      </c>
      <c r="I38" s="1">
        <v>45348</v>
      </c>
      <c r="J38" s="1">
        <v>45358</v>
      </c>
      <c r="K38">
        <v>100</v>
      </c>
      <c r="L38">
        <v>10</v>
      </c>
      <c r="M38">
        <v>3</v>
      </c>
      <c r="N38">
        <v>45</v>
      </c>
      <c r="O38">
        <v>0</v>
      </c>
      <c r="P38">
        <v>0</v>
      </c>
      <c r="Q38">
        <v>0</v>
      </c>
      <c r="R38">
        <v>7</v>
      </c>
    </row>
    <row r="39" spans="1:18" x14ac:dyDescent="0.3">
      <c r="A39" t="s">
        <v>198</v>
      </c>
      <c r="B39" t="s">
        <v>196</v>
      </c>
      <c r="C39" t="s">
        <v>230</v>
      </c>
      <c r="D39" t="s">
        <v>228</v>
      </c>
      <c r="E39">
        <v>1</v>
      </c>
      <c r="F39" s="1">
        <v>45748</v>
      </c>
      <c r="G39">
        <v>1</v>
      </c>
      <c r="H39" t="s">
        <v>227</v>
      </c>
      <c r="I39" s="1">
        <v>45746</v>
      </c>
      <c r="J39" s="1">
        <v>45769</v>
      </c>
      <c r="K39">
        <v>100</v>
      </c>
      <c r="L39">
        <v>23</v>
      </c>
      <c r="M39">
        <v>6</v>
      </c>
      <c r="N39">
        <v>45</v>
      </c>
      <c r="O39">
        <v>0</v>
      </c>
      <c r="P39">
        <v>0</v>
      </c>
      <c r="Q39">
        <v>0</v>
      </c>
      <c r="R39">
        <v>17</v>
      </c>
    </row>
    <row r="40" spans="1:18" x14ac:dyDescent="0.3">
      <c r="A40" t="s">
        <v>226</v>
      </c>
      <c r="B40" t="s">
        <v>196</v>
      </c>
      <c r="C40" t="s">
        <v>229</v>
      </c>
      <c r="D40" t="s">
        <v>228</v>
      </c>
      <c r="E40">
        <v>1</v>
      </c>
      <c r="F40" s="1">
        <v>43556</v>
      </c>
      <c r="G40">
        <v>1</v>
      </c>
      <c r="H40" t="s">
        <v>227</v>
      </c>
      <c r="I40" s="1">
        <v>43577</v>
      </c>
      <c r="J40" s="1">
        <v>43592</v>
      </c>
      <c r="K40">
        <v>100</v>
      </c>
      <c r="L40">
        <v>15</v>
      </c>
      <c r="M40">
        <v>5</v>
      </c>
      <c r="N40">
        <v>45</v>
      </c>
      <c r="O40">
        <v>0</v>
      </c>
      <c r="P40">
        <v>0</v>
      </c>
      <c r="Q40">
        <v>0</v>
      </c>
      <c r="R40">
        <v>10</v>
      </c>
    </row>
    <row r="41" spans="1:18" x14ac:dyDescent="0.3">
      <c r="A41" t="s">
        <v>225</v>
      </c>
      <c r="B41" t="s">
        <v>196</v>
      </c>
      <c r="C41" t="s">
        <v>229</v>
      </c>
      <c r="D41" t="s">
        <v>228</v>
      </c>
      <c r="E41">
        <v>1</v>
      </c>
      <c r="F41" s="1">
        <v>43191</v>
      </c>
      <c r="G41">
        <v>1</v>
      </c>
      <c r="H41" t="s">
        <v>227</v>
      </c>
      <c r="I41" s="1">
        <v>43213</v>
      </c>
      <c r="J41" s="1">
        <v>43230</v>
      </c>
      <c r="K41">
        <v>100</v>
      </c>
      <c r="L41">
        <v>17</v>
      </c>
      <c r="M41">
        <v>5</v>
      </c>
      <c r="N41">
        <v>45</v>
      </c>
      <c r="O41">
        <v>0</v>
      </c>
      <c r="P41">
        <v>0</v>
      </c>
      <c r="Q41">
        <v>0</v>
      </c>
      <c r="R41">
        <v>12</v>
      </c>
    </row>
    <row r="42" spans="1:18" x14ac:dyDescent="0.3">
      <c r="A42" t="s">
        <v>224</v>
      </c>
      <c r="B42" t="s">
        <v>196</v>
      </c>
      <c r="C42" t="s">
        <v>230</v>
      </c>
      <c r="D42" t="s">
        <v>228</v>
      </c>
      <c r="E42">
        <v>1</v>
      </c>
      <c r="F42" s="1">
        <v>45108</v>
      </c>
      <c r="G42">
        <v>1</v>
      </c>
      <c r="H42" t="s">
        <v>233</v>
      </c>
      <c r="I42" s="1">
        <v>45121</v>
      </c>
      <c r="J42" s="1">
        <v>45148</v>
      </c>
      <c r="K42">
        <v>100</v>
      </c>
      <c r="L42">
        <v>27</v>
      </c>
      <c r="M42">
        <v>8</v>
      </c>
      <c r="N42">
        <v>45</v>
      </c>
      <c r="O42">
        <v>0</v>
      </c>
      <c r="P42">
        <v>0</v>
      </c>
      <c r="Q42">
        <v>0</v>
      </c>
      <c r="R42">
        <v>19</v>
      </c>
    </row>
    <row r="43" spans="1:18" x14ac:dyDescent="0.3">
      <c r="A43" t="s">
        <v>213</v>
      </c>
      <c r="B43" t="s">
        <v>196</v>
      </c>
      <c r="C43" t="s">
        <v>229</v>
      </c>
      <c r="D43" t="s">
        <v>228</v>
      </c>
      <c r="E43">
        <v>1</v>
      </c>
      <c r="F43" s="1">
        <v>43132</v>
      </c>
      <c r="G43">
        <v>1</v>
      </c>
      <c r="H43" t="s">
        <v>227</v>
      </c>
      <c r="I43" s="1">
        <v>43145</v>
      </c>
      <c r="J43" s="1">
        <v>43164</v>
      </c>
      <c r="K43">
        <v>100</v>
      </c>
      <c r="L43">
        <v>19</v>
      </c>
      <c r="M43">
        <v>3</v>
      </c>
      <c r="N43">
        <v>45</v>
      </c>
      <c r="O43">
        <v>0</v>
      </c>
      <c r="P43">
        <v>0</v>
      </c>
      <c r="Q43">
        <v>0</v>
      </c>
      <c r="R43">
        <v>16</v>
      </c>
    </row>
    <row r="44" spans="1:18" x14ac:dyDescent="0.3">
      <c r="A44" t="s">
        <v>209</v>
      </c>
      <c r="B44" t="s">
        <v>196</v>
      </c>
      <c r="C44" t="s">
        <v>229</v>
      </c>
      <c r="D44" t="s">
        <v>228</v>
      </c>
      <c r="E44">
        <v>1</v>
      </c>
      <c r="F44" s="1">
        <v>43405</v>
      </c>
      <c r="G44">
        <v>1</v>
      </c>
      <c r="H44" t="s">
        <v>227</v>
      </c>
      <c r="I44" s="1">
        <v>43391</v>
      </c>
      <c r="J44" s="1">
        <v>43430</v>
      </c>
      <c r="K44">
        <v>100</v>
      </c>
      <c r="L44">
        <v>39</v>
      </c>
      <c r="M44">
        <v>17</v>
      </c>
      <c r="N44">
        <v>45</v>
      </c>
      <c r="O44">
        <v>0</v>
      </c>
      <c r="P44">
        <v>0</v>
      </c>
      <c r="Q44">
        <v>0</v>
      </c>
      <c r="R44">
        <v>22</v>
      </c>
    </row>
    <row r="45" spans="1:18" x14ac:dyDescent="0.3">
      <c r="A45" t="s">
        <v>223</v>
      </c>
      <c r="B45" t="s">
        <v>196</v>
      </c>
      <c r="C45" t="s">
        <v>230</v>
      </c>
      <c r="D45" t="s">
        <v>228</v>
      </c>
      <c r="E45">
        <v>1</v>
      </c>
      <c r="F45" s="1">
        <v>45505</v>
      </c>
      <c r="G45">
        <v>1</v>
      </c>
      <c r="H45" t="s">
        <v>227</v>
      </c>
      <c r="I45" s="1">
        <v>45495</v>
      </c>
      <c r="J45" s="1">
        <v>45523</v>
      </c>
      <c r="K45">
        <v>100</v>
      </c>
      <c r="L45">
        <v>28</v>
      </c>
      <c r="M45">
        <v>6</v>
      </c>
      <c r="N45">
        <v>45</v>
      </c>
      <c r="O45">
        <v>0</v>
      </c>
      <c r="P45">
        <v>0</v>
      </c>
      <c r="Q45">
        <v>0</v>
      </c>
      <c r="R45">
        <v>22</v>
      </c>
    </row>
    <row r="46" spans="1:18" x14ac:dyDescent="0.3">
      <c r="A46" t="s">
        <v>211</v>
      </c>
      <c r="B46" t="s">
        <v>196</v>
      </c>
      <c r="C46" t="s">
        <v>229</v>
      </c>
      <c r="D46" t="s">
        <v>228</v>
      </c>
      <c r="E46">
        <v>1</v>
      </c>
      <c r="F46" s="1">
        <v>42401</v>
      </c>
      <c r="G46">
        <v>1</v>
      </c>
      <c r="H46" t="s">
        <v>227</v>
      </c>
      <c r="I46" s="1">
        <v>42406</v>
      </c>
      <c r="J46" s="1">
        <v>42430</v>
      </c>
      <c r="K46">
        <v>100</v>
      </c>
      <c r="L46">
        <v>24</v>
      </c>
      <c r="M46">
        <v>8</v>
      </c>
      <c r="N46">
        <v>45</v>
      </c>
      <c r="O46">
        <v>0</v>
      </c>
      <c r="P46">
        <v>0</v>
      </c>
      <c r="Q46">
        <v>0</v>
      </c>
      <c r="R46">
        <v>16</v>
      </c>
    </row>
    <row r="47" spans="1:18" x14ac:dyDescent="0.3">
      <c r="A47" t="s">
        <v>202</v>
      </c>
      <c r="B47" t="s">
        <v>196</v>
      </c>
      <c r="C47" t="s">
        <v>230</v>
      </c>
      <c r="D47" t="s">
        <v>228</v>
      </c>
      <c r="E47">
        <v>1</v>
      </c>
      <c r="F47" s="1">
        <v>45352</v>
      </c>
      <c r="G47">
        <v>1</v>
      </c>
      <c r="H47" t="s">
        <v>227</v>
      </c>
      <c r="I47" s="1">
        <v>45347</v>
      </c>
      <c r="J47" s="1">
        <v>45377</v>
      </c>
      <c r="K47">
        <v>100</v>
      </c>
      <c r="L47">
        <v>30</v>
      </c>
      <c r="M47">
        <v>14</v>
      </c>
      <c r="N47">
        <v>45</v>
      </c>
      <c r="O47">
        <v>0</v>
      </c>
      <c r="P47">
        <v>0</v>
      </c>
      <c r="Q47">
        <v>0</v>
      </c>
      <c r="R47">
        <v>16</v>
      </c>
    </row>
    <row r="48" spans="1:18" x14ac:dyDescent="0.3">
      <c r="A48" t="s">
        <v>222</v>
      </c>
      <c r="B48" t="s">
        <v>196</v>
      </c>
      <c r="C48" t="s">
        <v>231</v>
      </c>
      <c r="D48" t="s">
        <v>228</v>
      </c>
      <c r="E48">
        <v>1</v>
      </c>
      <c r="F48" s="1">
        <v>44562</v>
      </c>
      <c r="G48">
        <v>1</v>
      </c>
      <c r="H48" t="s">
        <v>227</v>
      </c>
      <c r="I48" s="1">
        <v>44553</v>
      </c>
      <c r="J48" s="1">
        <v>44621</v>
      </c>
      <c r="K48">
        <v>100</v>
      </c>
      <c r="L48">
        <v>68</v>
      </c>
      <c r="M48">
        <v>12</v>
      </c>
      <c r="N48">
        <v>90</v>
      </c>
      <c r="O48">
        <v>0</v>
      </c>
      <c r="P48">
        <v>0</v>
      </c>
      <c r="Q48">
        <v>0</v>
      </c>
      <c r="R48">
        <v>56</v>
      </c>
    </row>
    <row r="49" spans="1:18" x14ac:dyDescent="0.3">
      <c r="A49" t="s">
        <v>204</v>
      </c>
      <c r="B49" t="s">
        <v>196</v>
      </c>
      <c r="C49" t="s">
        <v>231</v>
      </c>
      <c r="D49" t="s">
        <v>228</v>
      </c>
      <c r="E49">
        <v>1</v>
      </c>
      <c r="F49" s="1">
        <v>44682</v>
      </c>
      <c r="G49">
        <v>0.55000000000000004</v>
      </c>
      <c r="H49" t="s">
        <v>227</v>
      </c>
      <c r="I49" s="1">
        <v>44652</v>
      </c>
      <c r="J49" s="1">
        <v>44761</v>
      </c>
      <c r="K49">
        <v>100</v>
      </c>
      <c r="L49">
        <v>109</v>
      </c>
      <c r="M49">
        <v>50</v>
      </c>
      <c r="N49">
        <v>90</v>
      </c>
      <c r="O49">
        <v>0</v>
      </c>
      <c r="P49">
        <v>0</v>
      </c>
      <c r="Q49">
        <v>0</v>
      </c>
      <c r="R49">
        <v>59</v>
      </c>
    </row>
    <row r="50" spans="1:18" x14ac:dyDescent="0.3">
      <c r="A50" t="s">
        <v>204</v>
      </c>
      <c r="B50" t="s">
        <v>196</v>
      </c>
      <c r="C50" t="s">
        <v>230</v>
      </c>
      <c r="D50" t="s">
        <v>228</v>
      </c>
      <c r="E50">
        <v>2</v>
      </c>
      <c r="F50" s="1">
        <v>44986</v>
      </c>
      <c r="G50">
        <v>1</v>
      </c>
      <c r="H50" t="s">
        <v>227</v>
      </c>
      <c r="I50" s="1">
        <v>44997</v>
      </c>
      <c r="J50" s="1">
        <v>45000</v>
      </c>
      <c r="K50">
        <v>100</v>
      </c>
      <c r="L50">
        <v>3</v>
      </c>
      <c r="M50">
        <v>1</v>
      </c>
      <c r="N50">
        <v>45</v>
      </c>
      <c r="O50">
        <v>0</v>
      </c>
      <c r="P50">
        <v>0</v>
      </c>
      <c r="Q50">
        <v>0</v>
      </c>
      <c r="R50">
        <v>2</v>
      </c>
    </row>
    <row r="51" spans="1:18" x14ac:dyDescent="0.3">
      <c r="A51" t="s">
        <v>214</v>
      </c>
      <c r="B51" t="s">
        <v>196</v>
      </c>
      <c r="C51" t="s">
        <v>229</v>
      </c>
      <c r="D51" t="s">
        <v>228</v>
      </c>
      <c r="E51">
        <v>1</v>
      </c>
      <c r="F51" s="1">
        <v>43800</v>
      </c>
      <c r="G51">
        <v>1</v>
      </c>
      <c r="H51" t="s">
        <v>227</v>
      </c>
      <c r="I51" s="1">
        <v>43788</v>
      </c>
      <c r="J51" s="1">
        <v>43817</v>
      </c>
      <c r="K51">
        <v>100</v>
      </c>
      <c r="L51">
        <v>29</v>
      </c>
      <c r="M51">
        <v>4</v>
      </c>
      <c r="N51">
        <v>45</v>
      </c>
      <c r="O51">
        <v>0</v>
      </c>
      <c r="P51">
        <v>0</v>
      </c>
      <c r="Q51">
        <v>0</v>
      </c>
      <c r="R51">
        <v>25</v>
      </c>
    </row>
    <row r="52" spans="1:18" x14ac:dyDescent="0.3">
      <c r="A52" t="s">
        <v>214</v>
      </c>
      <c r="B52" t="s">
        <v>196</v>
      </c>
      <c r="C52" t="s">
        <v>231</v>
      </c>
      <c r="D52" t="s">
        <v>228</v>
      </c>
      <c r="E52">
        <v>2</v>
      </c>
      <c r="F52" s="1">
        <v>43831</v>
      </c>
      <c r="G52">
        <v>0.53120000000000001</v>
      </c>
      <c r="H52" t="s">
        <v>227</v>
      </c>
      <c r="I52" s="1">
        <v>43831</v>
      </c>
      <c r="J52" s="1">
        <v>43876</v>
      </c>
      <c r="K52">
        <v>100</v>
      </c>
      <c r="L52">
        <v>45</v>
      </c>
      <c r="M52">
        <v>0</v>
      </c>
      <c r="N52">
        <v>45</v>
      </c>
      <c r="O52">
        <v>1</v>
      </c>
      <c r="P52">
        <v>0</v>
      </c>
      <c r="Q52">
        <v>1</v>
      </c>
      <c r="R52">
        <v>45</v>
      </c>
    </row>
    <row r="53" spans="1:18" x14ac:dyDescent="0.3">
      <c r="A53" t="s">
        <v>210</v>
      </c>
      <c r="B53" t="s">
        <v>196</v>
      </c>
      <c r="C53" t="s">
        <v>229</v>
      </c>
      <c r="D53" t="s">
        <v>228</v>
      </c>
      <c r="E53">
        <v>1</v>
      </c>
      <c r="F53" s="1">
        <v>42795</v>
      </c>
      <c r="G53">
        <v>1</v>
      </c>
      <c r="H53" t="s">
        <v>227</v>
      </c>
      <c r="I53" s="1">
        <v>42787</v>
      </c>
      <c r="J53" s="1">
        <v>42822</v>
      </c>
      <c r="K53">
        <v>100</v>
      </c>
      <c r="L53">
        <v>35</v>
      </c>
      <c r="M53">
        <v>12</v>
      </c>
      <c r="N53">
        <v>45</v>
      </c>
      <c r="O53">
        <v>0</v>
      </c>
      <c r="P53">
        <v>0</v>
      </c>
      <c r="Q53">
        <v>0</v>
      </c>
      <c r="R53">
        <v>23</v>
      </c>
    </row>
    <row r="54" spans="1:18" x14ac:dyDescent="0.3">
      <c r="A54" t="s">
        <v>200</v>
      </c>
      <c r="B54" t="s">
        <v>196</v>
      </c>
      <c r="C54" t="s">
        <v>230</v>
      </c>
      <c r="D54" t="s">
        <v>228</v>
      </c>
      <c r="E54">
        <v>1</v>
      </c>
      <c r="F54" s="1">
        <v>45261</v>
      </c>
      <c r="G54">
        <v>1</v>
      </c>
      <c r="H54" t="s">
        <v>227</v>
      </c>
      <c r="I54" s="1">
        <v>45259</v>
      </c>
      <c r="J54" s="1">
        <v>45300</v>
      </c>
      <c r="K54">
        <v>100</v>
      </c>
      <c r="L54">
        <v>41</v>
      </c>
      <c r="M54">
        <v>3</v>
      </c>
      <c r="N54">
        <v>45</v>
      </c>
      <c r="O54">
        <v>0</v>
      </c>
      <c r="P54">
        <v>0</v>
      </c>
      <c r="Q54">
        <v>0</v>
      </c>
      <c r="R54">
        <v>38</v>
      </c>
    </row>
    <row r="55" spans="1:18" x14ac:dyDescent="0.3">
      <c r="A55" t="s">
        <v>201</v>
      </c>
      <c r="B55" t="s">
        <v>196</v>
      </c>
      <c r="C55" t="s">
        <v>230</v>
      </c>
      <c r="D55" t="s">
        <v>228</v>
      </c>
      <c r="E55">
        <v>1</v>
      </c>
      <c r="F55" s="1">
        <v>45444</v>
      </c>
      <c r="G55">
        <v>1</v>
      </c>
      <c r="H55" t="s">
        <v>227</v>
      </c>
      <c r="I55" s="1">
        <v>45453</v>
      </c>
      <c r="J55" s="1">
        <v>45488</v>
      </c>
      <c r="K55">
        <v>100</v>
      </c>
      <c r="L55">
        <v>35</v>
      </c>
      <c r="M55">
        <v>5</v>
      </c>
      <c r="N55">
        <v>45</v>
      </c>
      <c r="O55">
        <v>0</v>
      </c>
      <c r="P55">
        <v>0</v>
      </c>
      <c r="Q55">
        <v>0</v>
      </c>
      <c r="R55">
        <v>30</v>
      </c>
    </row>
    <row r="56" spans="1:18" x14ac:dyDescent="0.3">
      <c r="A56" t="s">
        <v>221</v>
      </c>
      <c r="B56" t="s">
        <v>196</v>
      </c>
      <c r="C56" t="s">
        <v>229</v>
      </c>
      <c r="D56" t="s">
        <v>228</v>
      </c>
      <c r="E56">
        <v>1</v>
      </c>
      <c r="F56" s="1">
        <v>42156</v>
      </c>
      <c r="G56">
        <v>1</v>
      </c>
      <c r="H56" t="s">
        <v>227</v>
      </c>
      <c r="I56" s="1">
        <v>42164</v>
      </c>
      <c r="J56" s="1">
        <v>42186</v>
      </c>
      <c r="K56">
        <v>100</v>
      </c>
      <c r="L56">
        <v>22</v>
      </c>
      <c r="M56">
        <v>5</v>
      </c>
      <c r="N56">
        <v>45</v>
      </c>
      <c r="O56">
        <v>0</v>
      </c>
      <c r="P56">
        <v>0</v>
      </c>
      <c r="Q56">
        <v>0</v>
      </c>
      <c r="R56">
        <v>17</v>
      </c>
    </row>
    <row r="57" spans="1:18" x14ac:dyDescent="0.3">
      <c r="A57" t="s">
        <v>203</v>
      </c>
      <c r="B57" t="s">
        <v>196</v>
      </c>
      <c r="C57" t="s">
        <v>231</v>
      </c>
      <c r="D57" t="s">
        <v>228</v>
      </c>
      <c r="E57">
        <v>1</v>
      </c>
      <c r="F57" s="1">
        <v>44743</v>
      </c>
      <c r="G57">
        <v>1</v>
      </c>
      <c r="H57" t="s">
        <v>227</v>
      </c>
      <c r="I57" s="1">
        <v>44739</v>
      </c>
      <c r="J57" s="1">
        <v>44756</v>
      </c>
      <c r="K57">
        <v>100</v>
      </c>
      <c r="L57">
        <v>17</v>
      </c>
      <c r="M57">
        <v>5</v>
      </c>
      <c r="N57">
        <v>45</v>
      </c>
      <c r="O57">
        <v>0</v>
      </c>
      <c r="P57">
        <v>0</v>
      </c>
      <c r="Q57">
        <v>0</v>
      </c>
      <c r="R57">
        <v>12</v>
      </c>
    </row>
    <row r="58" spans="1:18" x14ac:dyDescent="0.3">
      <c r="A58" t="s">
        <v>206</v>
      </c>
      <c r="B58" t="s">
        <v>196</v>
      </c>
      <c r="C58" t="s">
        <v>231</v>
      </c>
      <c r="D58" t="s">
        <v>228</v>
      </c>
      <c r="E58">
        <v>1</v>
      </c>
      <c r="F58" s="1">
        <v>44470</v>
      </c>
      <c r="G58">
        <v>1</v>
      </c>
      <c r="H58" t="s">
        <v>227</v>
      </c>
      <c r="I58" s="1">
        <v>44467</v>
      </c>
      <c r="J58" s="1">
        <v>44523</v>
      </c>
      <c r="K58">
        <v>100</v>
      </c>
      <c r="L58">
        <v>56</v>
      </c>
      <c r="M58">
        <v>11</v>
      </c>
      <c r="N58">
        <v>90</v>
      </c>
      <c r="O58">
        <v>0</v>
      </c>
      <c r="P58">
        <v>0</v>
      </c>
      <c r="Q58">
        <v>0</v>
      </c>
      <c r="R58">
        <v>45</v>
      </c>
    </row>
    <row r="59" spans="1:18" x14ac:dyDescent="0.3">
      <c r="A59" t="s">
        <v>220</v>
      </c>
      <c r="B59" t="s">
        <v>196</v>
      </c>
      <c r="C59" t="s">
        <v>230</v>
      </c>
      <c r="D59" t="s">
        <v>228</v>
      </c>
      <c r="E59">
        <v>1</v>
      </c>
      <c r="F59" s="1">
        <v>45108</v>
      </c>
      <c r="G59">
        <v>1</v>
      </c>
      <c r="H59" t="s">
        <v>227</v>
      </c>
      <c r="I59" s="1">
        <v>45119</v>
      </c>
      <c r="J59" s="1">
        <v>45147</v>
      </c>
      <c r="K59">
        <v>100</v>
      </c>
      <c r="L59">
        <v>28</v>
      </c>
      <c r="M59">
        <v>11</v>
      </c>
      <c r="N59">
        <v>45</v>
      </c>
      <c r="O59">
        <v>0</v>
      </c>
      <c r="P59">
        <v>0</v>
      </c>
      <c r="Q59">
        <v>0</v>
      </c>
      <c r="R59">
        <v>17</v>
      </c>
    </row>
    <row r="60" spans="1:18" x14ac:dyDescent="0.3">
      <c r="A60" t="s">
        <v>199</v>
      </c>
      <c r="B60" t="s">
        <v>196</v>
      </c>
      <c r="C60" t="s">
        <v>230</v>
      </c>
      <c r="D60" t="s">
        <v>228</v>
      </c>
      <c r="E60">
        <v>1</v>
      </c>
      <c r="F60" s="1">
        <v>45352</v>
      </c>
      <c r="G60">
        <v>1</v>
      </c>
      <c r="H60" t="s">
        <v>232</v>
      </c>
      <c r="I60" s="1">
        <v>45359</v>
      </c>
      <c r="J60" s="1">
        <v>45369</v>
      </c>
      <c r="K60">
        <v>100</v>
      </c>
      <c r="L60">
        <v>10</v>
      </c>
      <c r="M60">
        <v>3</v>
      </c>
      <c r="N60">
        <v>45</v>
      </c>
      <c r="O60">
        <v>0</v>
      </c>
      <c r="P60">
        <v>0</v>
      </c>
      <c r="Q60">
        <v>0</v>
      </c>
      <c r="R60">
        <v>7</v>
      </c>
    </row>
    <row r="61" spans="1:18" x14ac:dyDescent="0.3">
      <c r="A61" t="s">
        <v>197</v>
      </c>
      <c r="B61" t="s">
        <v>196</v>
      </c>
      <c r="C61" t="s">
        <v>230</v>
      </c>
      <c r="D61" t="s">
        <v>228</v>
      </c>
      <c r="E61">
        <v>1</v>
      </c>
      <c r="F61" s="1">
        <v>45748</v>
      </c>
      <c r="G61">
        <v>1</v>
      </c>
      <c r="H61" t="s">
        <v>227</v>
      </c>
      <c r="I61" s="1">
        <v>45763</v>
      </c>
      <c r="J61" s="1">
        <v>45790</v>
      </c>
      <c r="K61">
        <v>100</v>
      </c>
      <c r="L61">
        <v>27</v>
      </c>
      <c r="M61">
        <v>4</v>
      </c>
      <c r="N61">
        <v>45</v>
      </c>
      <c r="O61">
        <v>0</v>
      </c>
      <c r="P61">
        <v>0</v>
      </c>
      <c r="Q61">
        <v>0</v>
      </c>
      <c r="R61">
        <v>23</v>
      </c>
    </row>
    <row r="62" spans="1:18" x14ac:dyDescent="0.3">
      <c r="A62" t="s">
        <v>219</v>
      </c>
      <c r="B62" t="s">
        <v>196</v>
      </c>
      <c r="C62" t="s">
        <v>229</v>
      </c>
      <c r="D62" t="s">
        <v>228</v>
      </c>
      <c r="E62">
        <v>1</v>
      </c>
      <c r="F62" s="1">
        <v>43586</v>
      </c>
      <c r="G62">
        <v>1</v>
      </c>
      <c r="H62" t="s">
        <v>227</v>
      </c>
      <c r="I62" s="1">
        <v>43584</v>
      </c>
      <c r="J62" s="1">
        <v>43592</v>
      </c>
      <c r="K62">
        <v>100</v>
      </c>
      <c r="L62">
        <v>8</v>
      </c>
      <c r="M62">
        <v>2</v>
      </c>
      <c r="N62">
        <v>45</v>
      </c>
      <c r="O62">
        <v>0</v>
      </c>
      <c r="P62">
        <v>0</v>
      </c>
      <c r="Q62">
        <v>0</v>
      </c>
      <c r="R62">
        <v>6</v>
      </c>
    </row>
    <row r="63" spans="1:18" x14ac:dyDescent="0.3">
      <c r="A63" t="s">
        <v>219</v>
      </c>
      <c r="B63" t="s">
        <v>196</v>
      </c>
      <c r="C63" t="s">
        <v>231</v>
      </c>
      <c r="D63" t="s">
        <v>228</v>
      </c>
      <c r="E63">
        <v>2</v>
      </c>
      <c r="F63" s="1">
        <v>43862</v>
      </c>
      <c r="G63">
        <v>0.66669999999999996</v>
      </c>
      <c r="H63" t="s">
        <v>227</v>
      </c>
      <c r="I63" s="1">
        <v>43872</v>
      </c>
      <c r="J63" s="1">
        <v>43886</v>
      </c>
      <c r="K63">
        <v>100</v>
      </c>
      <c r="L63">
        <v>14</v>
      </c>
      <c r="M63">
        <v>4</v>
      </c>
      <c r="N63">
        <v>45</v>
      </c>
      <c r="O63">
        <v>0</v>
      </c>
      <c r="P63">
        <v>0</v>
      </c>
      <c r="Q63">
        <v>0</v>
      </c>
      <c r="R63">
        <v>10</v>
      </c>
    </row>
    <row r="64" spans="1:18" x14ac:dyDescent="0.3">
      <c r="A64" t="s">
        <v>207</v>
      </c>
      <c r="B64" t="s">
        <v>196</v>
      </c>
      <c r="C64" t="s">
        <v>231</v>
      </c>
      <c r="D64" t="s">
        <v>228</v>
      </c>
      <c r="E64">
        <v>1</v>
      </c>
      <c r="F64" s="1">
        <v>44166</v>
      </c>
      <c r="G64">
        <v>1</v>
      </c>
      <c r="H64" t="s">
        <v>227</v>
      </c>
      <c r="I64" s="1">
        <v>44189</v>
      </c>
      <c r="J64" s="1">
        <v>44202</v>
      </c>
      <c r="K64">
        <v>100</v>
      </c>
      <c r="L64">
        <v>13</v>
      </c>
      <c r="M64">
        <v>2</v>
      </c>
      <c r="N64">
        <v>45</v>
      </c>
      <c r="O64">
        <v>0</v>
      </c>
      <c r="P64">
        <v>0</v>
      </c>
      <c r="Q64">
        <v>0</v>
      </c>
      <c r="R64">
        <v>11</v>
      </c>
    </row>
    <row r="65" spans="1:18" x14ac:dyDescent="0.3">
      <c r="A65" t="s">
        <v>218</v>
      </c>
      <c r="B65" t="s">
        <v>196</v>
      </c>
      <c r="C65" t="s">
        <v>231</v>
      </c>
      <c r="D65" t="s">
        <v>228</v>
      </c>
      <c r="E65">
        <v>1</v>
      </c>
      <c r="F65" s="1">
        <v>44531</v>
      </c>
      <c r="G65">
        <v>1</v>
      </c>
      <c r="H65" t="s">
        <v>227</v>
      </c>
      <c r="I65" s="1">
        <v>44543</v>
      </c>
      <c r="J65" s="1">
        <v>44566</v>
      </c>
      <c r="K65">
        <v>100</v>
      </c>
      <c r="L65">
        <v>23</v>
      </c>
      <c r="M65">
        <v>4</v>
      </c>
      <c r="N65">
        <v>45</v>
      </c>
      <c r="O65">
        <v>0</v>
      </c>
      <c r="P65">
        <v>0</v>
      </c>
      <c r="Q65">
        <v>0</v>
      </c>
      <c r="R65">
        <v>19</v>
      </c>
    </row>
    <row r="66" spans="1:18" x14ac:dyDescent="0.3">
      <c r="A66" t="s">
        <v>217</v>
      </c>
      <c r="B66" t="s">
        <v>196</v>
      </c>
      <c r="C66" t="s">
        <v>229</v>
      </c>
      <c r="D66" t="s">
        <v>228</v>
      </c>
      <c r="E66">
        <v>1</v>
      </c>
      <c r="F66" s="1">
        <v>42339</v>
      </c>
      <c r="G66">
        <v>1</v>
      </c>
      <c r="H66" t="s">
        <v>227</v>
      </c>
      <c r="I66" s="1">
        <v>42352</v>
      </c>
      <c r="J66" s="1">
        <v>42373</v>
      </c>
      <c r="K66">
        <v>100</v>
      </c>
      <c r="L66">
        <v>21</v>
      </c>
      <c r="M66">
        <v>4</v>
      </c>
      <c r="N66">
        <v>45</v>
      </c>
      <c r="O66">
        <v>0</v>
      </c>
      <c r="P66">
        <v>0</v>
      </c>
      <c r="Q66">
        <v>0</v>
      </c>
      <c r="R66">
        <v>17</v>
      </c>
    </row>
    <row r="67" spans="1:18" x14ac:dyDescent="0.3">
      <c r="A67" t="s">
        <v>208</v>
      </c>
      <c r="B67" t="s">
        <v>196</v>
      </c>
      <c r="C67" t="s">
        <v>231</v>
      </c>
      <c r="D67" t="s">
        <v>228</v>
      </c>
      <c r="E67">
        <v>1</v>
      </c>
      <c r="F67" s="1">
        <v>44075</v>
      </c>
      <c r="G67">
        <v>1</v>
      </c>
      <c r="H67" t="s">
        <v>227</v>
      </c>
      <c r="I67" s="1">
        <v>44063</v>
      </c>
      <c r="J67" s="1">
        <v>44103</v>
      </c>
      <c r="K67">
        <v>100</v>
      </c>
      <c r="L67">
        <v>40</v>
      </c>
      <c r="M67">
        <v>17</v>
      </c>
      <c r="N67">
        <v>45</v>
      </c>
      <c r="O67">
        <v>0</v>
      </c>
      <c r="P67">
        <v>0</v>
      </c>
      <c r="Q67">
        <v>0</v>
      </c>
      <c r="R67">
        <v>23</v>
      </c>
    </row>
    <row r="68" spans="1:18" x14ac:dyDescent="0.3">
      <c r="A68" t="s">
        <v>205</v>
      </c>
      <c r="B68" t="s">
        <v>196</v>
      </c>
      <c r="C68" t="s">
        <v>229</v>
      </c>
      <c r="D68" t="s">
        <v>228</v>
      </c>
      <c r="E68">
        <v>1</v>
      </c>
      <c r="F68" s="1">
        <v>42767</v>
      </c>
      <c r="G68">
        <v>0.875</v>
      </c>
      <c r="H68" t="s">
        <v>227</v>
      </c>
      <c r="I68" s="1">
        <v>42769</v>
      </c>
      <c r="J68" s="1">
        <v>42794</v>
      </c>
      <c r="K68">
        <v>100</v>
      </c>
      <c r="L68">
        <v>25</v>
      </c>
      <c r="M68">
        <v>8</v>
      </c>
      <c r="N68">
        <v>45</v>
      </c>
      <c r="O68">
        <v>0</v>
      </c>
      <c r="P68">
        <v>0</v>
      </c>
      <c r="Q68">
        <v>0</v>
      </c>
      <c r="R68">
        <v>17</v>
      </c>
    </row>
    <row r="69" spans="1:18" x14ac:dyDescent="0.3">
      <c r="A69" t="s">
        <v>205</v>
      </c>
      <c r="B69" t="s">
        <v>196</v>
      </c>
      <c r="C69" t="s">
        <v>231</v>
      </c>
      <c r="D69" t="s">
        <v>228</v>
      </c>
      <c r="E69">
        <v>2</v>
      </c>
      <c r="F69" s="1">
        <v>44621</v>
      </c>
      <c r="G69">
        <v>1</v>
      </c>
      <c r="H69" t="s">
        <v>227</v>
      </c>
      <c r="I69" s="1">
        <v>44620</v>
      </c>
      <c r="J69" s="1">
        <v>44641</v>
      </c>
      <c r="K69">
        <v>100</v>
      </c>
      <c r="L69">
        <v>21</v>
      </c>
      <c r="M69">
        <v>5</v>
      </c>
      <c r="N69">
        <v>45</v>
      </c>
      <c r="O69">
        <v>0</v>
      </c>
      <c r="P69">
        <v>0</v>
      </c>
      <c r="Q69">
        <v>0</v>
      </c>
      <c r="R69">
        <v>16</v>
      </c>
    </row>
    <row r="70" spans="1:18" x14ac:dyDescent="0.3">
      <c r="A70" t="s">
        <v>216</v>
      </c>
      <c r="B70" t="s">
        <v>196</v>
      </c>
      <c r="C70" t="s">
        <v>231</v>
      </c>
      <c r="D70" t="s">
        <v>228</v>
      </c>
      <c r="E70">
        <v>1</v>
      </c>
      <c r="F70" s="1">
        <v>44713</v>
      </c>
      <c r="G70">
        <v>1</v>
      </c>
      <c r="H70" t="s">
        <v>227</v>
      </c>
      <c r="I70" s="1">
        <v>44700</v>
      </c>
      <c r="J70" s="1">
        <v>44749</v>
      </c>
      <c r="K70">
        <v>100</v>
      </c>
      <c r="L70">
        <v>49</v>
      </c>
      <c r="M70">
        <v>10</v>
      </c>
      <c r="N70">
        <v>45</v>
      </c>
      <c r="O70">
        <v>0</v>
      </c>
      <c r="P70">
        <v>0</v>
      </c>
      <c r="Q70">
        <v>0</v>
      </c>
      <c r="R70">
        <v>39</v>
      </c>
    </row>
    <row r="71" spans="1:18" x14ac:dyDescent="0.3">
      <c r="A71" t="s">
        <v>215</v>
      </c>
      <c r="B71" t="s">
        <v>196</v>
      </c>
      <c r="C71" t="s">
        <v>230</v>
      </c>
      <c r="D71" t="s">
        <v>228</v>
      </c>
      <c r="E71">
        <v>1</v>
      </c>
      <c r="F71" s="1">
        <v>45597</v>
      </c>
      <c r="G71">
        <v>1</v>
      </c>
      <c r="H71" t="s">
        <v>227</v>
      </c>
      <c r="I71" s="1">
        <v>45612</v>
      </c>
      <c r="J71" s="1">
        <v>45631</v>
      </c>
      <c r="K71">
        <v>100</v>
      </c>
      <c r="L71">
        <v>19</v>
      </c>
      <c r="M71">
        <v>7</v>
      </c>
      <c r="N71">
        <v>45</v>
      </c>
      <c r="O71">
        <v>0</v>
      </c>
      <c r="P71">
        <v>0</v>
      </c>
      <c r="Q71">
        <v>0</v>
      </c>
      <c r="R71">
        <v>12</v>
      </c>
    </row>
    <row r="72" spans="1:18" x14ac:dyDescent="0.3">
      <c r="A72" t="s">
        <v>212</v>
      </c>
      <c r="B72" t="s">
        <v>196</v>
      </c>
      <c r="C72" t="s">
        <v>229</v>
      </c>
      <c r="D72" t="s">
        <v>228</v>
      </c>
      <c r="E72">
        <v>1</v>
      </c>
      <c r="F72" s="1">
        <v>42887</v>
      </c>
      <c r="G72">
        <v>1</v>
      </c>
      <c r="H72" t="s">
        <v>227</v>
      </c>
      <c r="I72" s="1">
        <v>42881</v>
      </c>
      <c r="J72" s="1">
        <v>42928</v>
      </c>
      <c r="K72">
        <v>100</v>
      </c>
      <c r="L72">
        <v>47</v>
      </c>
      <c r="M72">
        <v>9</v>
      </c>
      <c r="N72">
        <v>45</v>
      </c>
      <c r="O72">
        <v>0</v>
      </c>
      <c r="P72">
        <v>0</v>
      </c>
      <c r="Q72">
        <v>0</v>
      </c>
      <c r="R72">
        <v>38</v>
      </c>
    </row>
    <row r="73" spans="1:18" x14ac:dyDescent="0.3">
      <c r="A73" t="s">
        <v>151</v>
      </c>
      <c r="B73" t="s">
        <v>142</v>
      </c>
      <c r="C73" t="s">
        <v>231</v>
      </c>
      <c r="D73" t="s">
        <v>228</v>
      </c>
      <c r="E73">
        <v>1</v>
      </c>
      <c r="F73" s="1">
        <v>43831</v>
      </c>
      <c r="G73">
        <v>1</v>
      </c>
      <c r="H73" t="s">
        <v>227</v>
      </c>
      <c r="I73" s="1">
        <v>43831</v>
      </c>
      <c r="J73" s="1">
        <v>43848</v>
      </c>
      <c r="K73">
        <v>100</v>
      </c>
      <c r="L73">
        <v>17</v>
      </c>
      <c r="M73">
        <v>5</v>
      </c>
      <c r="N73">
        <v>45</v>
      </c>
      <c r="O73">
        <v>1</v>
      </c>
      <c r="P73">
        <v>0</v>
      </c>
      <c r="Q73">
        <v>1</v>
      </c>
      <c r="R73">
        <v>12</v>
      </c>
    </row>
    <row r="74" spans="1:18" x14ac:dyDescent="0.3">
      <c r="A74" t="s">
        <v>175</v>
      </c>
      <c r="B74" t="s">
        <v>142</v>
      </c>
      <c r="C74" t="s">
        <v>230</v>
      </c>
      <c r="D74" t="s">
        <v>228</v>
      </c>
      <c r="E74">
        <v>1</v>
      </c>
      <c r="F74" s="1">
        <v>45352</v>
      </c>
      <c r="G74">
        <v>1</v>
      </c>
      <c r="H74" t="s">
        <v>227</v>
      </c>
      <c r="I74" s="1">
        <v>45376</v>
      </c>
      <c r="J74" s="1">
        <v>45379</v>
      </c>
      <c r="K74">
        <v>100</v>
      </c>
      <c r="L74">
        <v>3</v>
      </c>
      <c r="M74">
        <v>1</v>
      </c>
      <c r="N74">
        <v>45</v>
      </c>
      <c r="O74">
        <v>0</v>
      </c>
      <c r="P74">
        <v>0</v>
      </c>
      <c r="Q74">
        <v>0</v>
      </c>
      <c r="R74">
        <v>2</v>
      </c>
    </row>
    <row r="75" spans="1:18" x14ac:dyDescent="0.3">
      <c r="A75" t="s">
        <v>174</v>
      </c>
      <c r="B75" t="s">
        <v>142</v>
      </c>
      <c r="C75" t="s">
        <v>231</v>
      </c>
      <c r="D75" t="s">
        <v>228</v>
      </c>
      <c r="E75">
        <v>1</v>
      </c>
      <c r="F75" s="1">
        <v>44044</v>
      </c>
      <c r="G75">
        <v>1</v>
      </c>
      <c r="H75" t="s">
        <v>227</v>
      </c>
      <c r="I75" s="1">
        <v>44046</v>
      </c>
      <c r="J75" s="1">
        <v>44050</v>
      </c>
      <c r="K75">
        <v>100</v>
      </c>
      <c r="L75">
        <v>4</v>
      </c>
      <c r="M75">
        <v>1</v>
      </c>
      <c r="N75">
        <v>45</v>
      </c>
      <c r="O75">
        <v>0</v>
      </c>
      <c r="P75">
        <v>0</v>
      </c>
      <c r="Q75">
        <v>0</v>
      </c>
      <c r="R75">
        <v>3</v>
      </c>
    </row>
    <row r="76" spans="1:18" x14ac:dyDescent="0.3">
      <c r="A76" t="s">
        <v>153</v>
      </c>
      <c r="B76" t="s">
        <v>142</v>
      </c>
      <c r="C76" t="s">
        <v>229</v>
      </c>
      <c r="D76" t="s">
        <v>228</v>
      </c>
      <c r="E76">
        <v>1</v>
      </c>
      <c r="F76" s="1">
        <v>43405</v>
      </c>
      <c r="G76">
        <v>1</v>
      </c>
      <c r="H76" t="s">
        <v>227</v>
      </c>
      <c r="I76" s="1">
        <v>43412</v>
      </c>
      <c r="J76" s="1">
        <v>43425</v>
      </c>
      <c r="K76">
        <v>100</v>
      </c>
      <c r="L76">
        <v>13</v>
      </c>
      <c r="M76">
        <v>4</v>
      </c>
      <c r="N76">
        <v>45</v>
      </c>
      <c r="O76">
        <v>0</v>
      </c>
      <c r="P76">
        <v>0</v>
      </c>
      <c r="Q76">
        <v>0</v>
      </c>
      <c r="R76">
        <v>9</v>
      </c>
    </row>
    <row r="77" spans="1:18" x14ac:dyDescent="0.3">
      <c r="A77" t="s">
        <v>149</v>
      </c>
      <c r="B77" t="s">
        <v>142</v>
      </c>
      <c r="C77" t="s">
        <v>231</v>
      </c>
      <c r="D77" t="s">
        <v>228</v>
      </c>
      <c r="E77">
        <v>1</v>
      </c>
      <c r="F77" s="1">
        <v>44348</v>
      </c>
      <c r="G77">
        <v>1</v>
      </c>
      <c r="H77" t="s">
        <v>227</v>
      </c>
      <c r="I77" s="1">
        <v>44370</v>
      </c>
      <c r="J77" s="1">
        <v>44379</v>
      </c>
      <c r="K77">
        <v>100</v>
      </c>
      <c r="L77">
        <v>9</v>
      </c>
      <c r="M77">
        <v>2</v>
      </c>
      <c r="N77">
        <v>45</v>
      </c>
      <c r="O77">
        <v>0</v>
      </c>
      <c r="P77">
        <v>0</v>
      </c>
      <c r="Q77">
        <v>0</v>
      </c>
      <c r="R77">
        <v>7</v>
      </c>
    </row>
    <row r="78" spans="1:18" x14ac:dyDescent="0.3">
      <c r="A78" t="s">
        <v>143</v>
      </c>
      <c r="B78" t="s">
        <v>142</v>
      </c>
      <c r="C78" t="s">
        <v>230</v>
      </c>
      <c r="D78" t="s">
        <v>228</v>
      </c>
      <c r="E78">
        <v>1</v>
      </c>
      <c r="F78" s="1">
        <v>45323</v>
      </c>
      <c r="G78">
        <v>1</v>
      </c>
      <c r="H78" t="s">
        <v>227</v>
      </c>
      <c r="I78" s="1">
        <v>45325</v>
      </c>
      <c r="J78" s="1">
        <v>45333</v>
      </c>
      <c r="K78">
        <v>100</v>
      </c>
      <c r="L78">
        <v>8</v>
      </c>
      <c r="M78">
        <v>2</v>
      </c>
      <c r="N78">
        <v>45</v>
      </c>
      <c r="O78">
        <v>0</v>
      </c>
      <c r="P78">
        <v>0</v>
      </c>
      <c r="Q78">
        <v>0</v>
      </c>
      <c r="R78">
        <v>6</v>
      </c>
    </row>
    <row r="79" spans="1:18" x14ac:dyDescent="0.3">
      <c r="A79" t="s">
        <v>173</v>
      </c>
      <c r="B79" t="s">
        <v>142</v>
      </c>
      <c r="C79" t="s">
        <v>229</v>
      </c>
      <c r="D79" t="s">
        <v>228</v>
      </c>
      <c r="E79">
        <v>1</v>
      </c>
      <c r="F79" s="1">
        <v>43435</v>
      </c>
      <c r="G79">
        <v>1</v>
      </c>
      <c r="H79" t="s">
        <v>227</v>
      </c>
      <c r="I79" s="1">
        <v>43429</v>
      </c>
      <c r="J79" s="1">
        <v>43442</v>
      </c>
      <c r="K79">
        <v>100</v>
      </c>
      <c r="L79">
        <v>13</v>
      </c>
      <c r="M79">
        <v>1</v>
      </c>
      <c r="N79">
        <v>45</v>
      </c>
      <c r="O79">
        <v>0</v>
      </c>
      <c r="P79">
        <v>0</v>
      </c>
      <c r="Q79">
        <v>0</v>
      </c>
      <c r="R79">
        <v>12</v>
      </c>
    </row>
    <row r="80" spans="1:18" x14ac:dyDescent="0.3">
      <c r="A80" t="s">
        <v>173</v>
      </c>
      <c r="B80" t="s">
        <v>142</v>
      </c>
      <c r="C80" t="s">
        <v>231</v>
      </c>
      <c r="D80" t="s">
        <v>228</v>
      </c>
      <c r="E80">
        <v>2</v>
      </c>
      <c r="F80" s="1">
        <v>44652</v>
      </c>
      <c r="G80">
        <v>0.79</v>
      </c>
      <c r="H80" t="s">
        <v>227</v>
      </c>
      <c r="I80" s="1">
        <v>44654</v>
      </c>
      <c r="J80" s="1">
        <v>44664</v>
      </c>
      <c r="K80">
        <v>100</v>
      </c>
      <c r="L80">
        <v>10</v>
      </c>
      <c r="M80">
        <v>3</v>
      </c>
      <c r="N80">
        <v>45</v>
      </c>
      <c r="O80">
        <v>0</v>
      </c>
      <c r="P80">
        <v>0</v>
      </c>
      <c r="Q80">
        <v>0</v>
      </c>
      <c r="R80">
        <v>7</v>
      </c>
    </row>
    <row r="81" spans="1:18" x14ac:dyDescent="0.3">
      <c r="A81" t="s">
        <v>147</v>
      </c>
      <c r="B81" t="s">
        <v>142</v>
      </c>
      <c r="C81" t="s">
        <v>230</v>
      </c>
      <c r="D81" t="s">
        <v>228</v>
      </c>
      <c r="E81">
        <v>1</v>
      </c>
      <c r="F81" s="1">
        <v>45292</v>
      </c>
      <c r="G81">
        <v>1</v>
      </c>
      <c r="H81" t="s">
        <v>227</v>
      </c>
      <c r="I81" s="1">
        <v>45306</v>
      </c>
      <c r="J81" s="1">
        <v>45308</v>
      </c>
      <c r="K81">
        <v>100</v>
      </c>
      <c r="L81">
        <v>2</v>
      </c>
      <c r="M81">
        <v>1</v>
      </c>
      <c r="N81">
        <v>45</v>
      </c>
      <c r="O81">
        <v>0</v>
      </c>
      <c r="P81">
        <v>0</v>
      </c>
      <c r="Q81">
        <v>0</v>
      </c>
      <c r="R81">
        <v>1</v>
      </c>
    </row>
    <row r="82" spans="1:18" x14ac:dyDescent="0.3">
      <c r="A82" t="s">
        <v>150</v>
      </c>
      <c r="B82" t="s">
        <v>142</v>
      </c>
      <c r="C82" t="s">
        <v>231</v>
      </c>
      <c r="D82" t="s">
        <v>228</v>
      </c>
      <c r="E82">
        <v>1</v>
      </c>
      <c r="F82" s="1">
        <v>44409</v>
      </c>
      <c r="G82">
        <v>1</v>
      </c>
      <c r="H82" t="s">
        <v>227</v>
      </c>
      <c r="I82" s="1">
        <v>44421</v>
      </c>
      <c r="J82" s="1">
        <v>44425</v>
      </c>
      <c r="K82">
        <v>100</v>
      </c>
      <c r="L82">
        <v>4</v>
      </c>
      <c r="M82">
        <v>1</v>
      </c>
      <c r="N82">
        <v>45</v>
      </c>
      <c r="O82">
        <v>0</v>
      </c>
      <c r="P82">
        <v>0</v>
      </c>
      <c r="Q82">
        <v>0</v>
      </c>
      <c r="R82">
        <v>3</v>
      </c>
    </row>
    <row r="83" spans="1:18" x14ac:dyDescent="0.3">
      <c r="A83" t="s">
        <v>172</v>
      </c>
      <c r="B83" t="s">
        <v>142</v>
      </c>
      <c r="C83" t="s">
        <v>229</v>
      </c>
      <c r="D83" t="s">
        <v>228</v>
      </c>
      <c r="E83">
        <v>1</v>
      </c>
      <c r="F83" s="1">
        <v>42948</v>
      </c>
      <c r="G83">
        <v>1</v>
      </c>
      <c r="H83" t="s">
        <v>227</v>
      </c>
      <c r="I83" s="1">
        <v>42971</v>
      </c>
      <c r="J83" s="1">
        <v>42979</v>
      </c>
      <c r="K83">
        <v>100</v>
      </c>
      <c r="L83">
        <v>8</v>
      </c>
      <c r="M83">
        <v>2</v>
      </c>
      <c r="N83">
        <v>45</v>
      </c>
      <c r="O83">
        <v>0</v>
      </c>
      <c r="P83">
        <v>0</v>
      </c>
      <c r="Q83">
        <v>0</v>
      </c>
      <c r="R83">
        <v>6</v>
      </c>
    </row>
    <row r="84" spans="1:18" x14ac:dyDescent="0.3">
      <c r="A84" t="s">
        <v>154</v>
      </c>
      <c r="B84" t="s">
        <v>142</v>
      </c>
      <c r="C84" t="s">
        <v>229</v>
      </c>
      <c r="D84" t="s">
        <v>228</v>
      </c>
      <c r="E84">
        <v>1</v>
      </c>
      <c r="F84" s="1">
        <v>42979</v>
      </c>
      <c r="G84">
        <v>1</v>
      </c>
      <c r="H84" t="s">
        <v>227</v>
      </c>
      <c r="I84" s="1">
        <v>42994</v>
      </c>
      <c r="J84" s="1">
        <v>43001</v>
      </c>
      <c r="K84">
        <v>100</v>
      </c>
      <c r="L84">
        <v>7</v>
      </c>
      <c r="M84">
        <v>3</v>
      </c>
      <c r="N84">
        <v>45</v>
      </c>
      <c r="O84">
        <v>0</v>
      </c>
      <c r="P84">
        <v>0</v>
      </c>
      <c r="Q84">
        <v>0</v>
      </c>
      <c r="R84">
        <v>4</v>
      </c>
    </row>
    <row r="85" spans="1:18" x14ac:dyDescent="0.3">
      <c r="A85" t="s">
        <v>144</v>
      </c>
      <c r="B85" t="s">
        <v>142</v>
      </c>
      <c r="C85" t="s">
        <v>230</v>
      </c>
      <c r="D85" t="s">
        <v>228</v>
      </c>
      <c r="E85">
        <v>1</v>
      </c>
      <c r="F85" s="1">
        <v>45444</v>
      </c>
      <c r="G85">
        <v>1</v>
      </c>
      <c r="H85" t="s">
        <v>227</v>
      </c>
      <c r="I85" s="1">
        <v>45462</v>
      </c>
      <c r="J85" s="1">
        <v>45469</v>
      </c>
      <c r="K85">
        <v>100</v>
      </c>
      <c r="L85">
        <v>7</v>
      </c>
      <c r="M85">
        <v>4</v>
      </c>
      <c r="N85">
        <v>45</v>
      </c>
      <c r="O85">
        <v>0</v>
      </c>
      <c r="P85">
        <v>0</v>
      </c>
      <c r="Q85">
        <v>0</v>
      </c>
      <c r="R85">
        <v>3</v>
      </c>
    </row>
    <row r="86" spans="1:18" x14ac:dyDescent="0.3">
      <c r="A86" t="s">
        <v>171</v>
      </c>
      <c r="B86" t="s">
        <v>142</v>
      </c>
      <c r="C86" t="s">
        <v>231</v>
      </c>
      <c r="D86" t="s">
        <v>228</v>
      </c>
      <c r="E86">
        <v>1</v>
      </c>
      <c r="F86" s="1">
        <v>44743</v>
      </c>
      <c r="G86">
        <v>1</v>
      </c>
      <c r="H86" t="s">
        <v>227</v>
      </c>
      <c r="I86" s="1">
        <v>44752</v>
      </c>
      <c r="J86" s="1">
        <v>44757</v>
      </c>
      <c r="K86">
        <v>100</v>
      </c>
      <c r="L86">
        <v>5</v>
      </c>
      <c r="M86">
        <v>2</v>
      </c>
      <c r="N86">
        <v>45</v>
      </c>
      <c r="O86">
        <v>0</v>
      </c>
      <c r="P86">
        <v>0</v>
      </c>
      <c r="Q86">
        <v>0</v>
      </c>
      <c r="R86">
        <v>3</v>
      </c>
    </row>
    <row r="87" spans="1:18" x14ac:dyDescent="0.3">
      <c r="A87" t="s">
        <v>146</v>
      </c>
      <c r="B87" t="s">
        <v>142</v>
      </c>
      <c r="C87" t="s">
        <v>230</v>
      </c>
      <c r="D87" t="s">
        <v>228</v>
      </c>
      <c r="E87">
        <v>1</v>
      </c>
      <c r="F87" s="1">
        <v>45292</v>
      </c>
      <c r="G87">
        <v>1</v>
      </c>
      <c r="H87" t="s">
        <v>227</v>
      </c>
      <c r="I87" s="1">
        <v>45291</v>
      </c>
      <c r="J87" s="1">
        <v>45296</v>
      </c>
      <c r="K87">
        <v>100</v>
      </c>
      <c r="L87">
        <v>5</v>
      </c>
      <c r="M87">
        <v>2</v>
      </c>
      <c r="N87">
        <v>45</v>
      </c>
      <c r="O87">
        <v>0</v>
      </c>
      <c r="P87">
        <v>0</v>
      </c>
      <c r="Q87">
        <v>0</v>
      </c>
      <c r="R87">
        <v>3</v>
      </c>
    </row>
    <row r="88" spans="1:18" x14ac:dyDescent="0.3">
      <c r="A88" t="s">
        <v>168</v>
      </c>
      <c r="B88" t="s">
        <v>142</v>
      </c>
      <c r="C88" t="s">
        <v>231</v>
      </c>
      <c r="D88" t="s">
        <v>228</v>
      </c>
      <c r="E88">
        <v>1</v>
      </c>
      <c r="F88" s="1">
        <v>44440</v>
      </c>
      <c r="G88">
        <v>1</v>
      </c>
      <c r="H88" t="s">
        <v>227</v>
      </c>
      <c r="I88" s="1">
        <v>44457</v>
      </c>
      <c r="J88" s="1">
        <v>44469</v>
      </c>
      <c r="K88">
        <v>100</v>
      </c>
      <c r="L88">
        <v>12</v>
      </c>
      <c r="M88">
        <v>2</v>
      </c>
      <c r="N88">
        <v>45</v>
      </c>
      <c r="O88">
        <v>0</v>
      </c>
      <c r="P88">
        <v>0</v>
      </c>
      <c r="Q88">
        <v>0</v>
      </c>
      <c r="R88">
        <v>10</v>
      </c>
    </row>
    <row r="89" spans="1:18" x14ac:dyDescent="0.3">
      <c r="A89" t="s">
        <v>170</v>
      </c>
      <c r="B89" t="s">
        <v>142</v>
      </c>
      <c r="C89" t="s">
        <v>229</v>
      </c>
      <c r="D89" t="s">
        <v>228</v>
      </c>
      <c r="E89">
        <v>1</v>
      </c>
      <c r="F89" s="1">
        <v>42401</v>
      </c>
      <c r="G89">
        <v>1</v>
      </c>
      <c r="H89" t="s">
        <v>227</v>
      </c>
      <c r="I89" s="1">
        <v>42410</v>
      </c>
      <c r="J89" s="1">
        <v>42415</v>
      </c>
      <c r="K89">
        <v>100</v>
      </c>
      <c r="L89">
        <v>5</v>
      </c>
      <c r="M89">
        <v>1</v>
      </c>
      <c r="N89">
        <v>45</v>
      </c>
      <c r="O89">
        <v>0</v>
      </c>
      <c r="P89">
        <v>0</v>
      </c>
      <c r="Q89">
        <v>0</v>
      </c>
      <c r="R89">
        <v>4</v>
      </c>
    </row>
    <row r="90" spans="1:18" x14ac:dyDescent="0.3">
      <c r="A90" t="s">
        <v>169</v>
      </c>
      <c r="B90" t="s">
        <v>142</v>
      </c>
      <c r="C90" t="s">
        <v>230</v>
      </c>
      <c r="D90" t="s">
        <v>228</v>
      </c>
      <c r="E90">
        <v>1</v>
      </c>
      <c r="F90" s="1">
        <v>45139</v>
      </c>
      <c r="G90">
        <v>1</v>
      </c>
      <c r="H90" t="s">
        <v>227</v>
      </c>
      <c r="I90" s="1">
        <v>45132</v>
      </c>
      <c r="J90" s="1">
        <v>45149</v>
      </c>
      <c r="K90">
        <v>100</v>
      </c>
      <c r="L90">
        <v>17</v>
      </c>
      <c r="M90">
        <v>8</v>
      </c>
      <c r="N90">
        <v>45</v>
      </c>
      <c r="O90">
        <v>0</v>
      </c>
      <c r="P90">
        <v>0</v>
      </c>
      <c r="Q90">
        <v>0</v>
      </c>
      <c r="R90">
        <v>9</v>
      </c>
    </row>
    <row r="91" spans="1:18" x14ac:dyDescent="0.3">
      <c r="A91" t="s">
        <v>148</v>
      </c>
      <c r="B91" t="s">
        <v>142</v>
      </c>
      <c r="C91" t="s">
        <v>230</v>
      </c>
      <c r="D91" t="s">
        <v>228</v>
      </c>
      <c r="E91">
        <v>1</v>
      </c>
      <c r="F91" s="1">
        <v>45139</v>
      </c>
      <c r="G91">
        <v>1</v>
      </c>
      <c r="H91" t="s">
        <v>227</v>
      </c>
      <c r="I91" s="1">
        <v>45146</v>
      </c>
      <c r="J91" s="1">
        <v>45153</v>
      </c>
      <c r="K91">
        <v>100</v>
      </c>
      <c r="L91">
        <v>7</v>
      </c>
      <c r="M91">
        <v>2</v>
      </c>
      <c r="N91">
        <v>45</v>
      </c>
      <c r="O91">
        <v>0</v>
      </c>
      <c r="P91">
        <v>0</v>
      </c>
      <c r="Q91">
        <v>0</v>
      </c>
      <c r="R91">
        <v>5</v>
      </c>
    </row>
    <row r="92" spans="1:18" x14ac:dyDescent="0.3">
      <c r="A92" t="s">
        <v>145</v>
      </c>
      <c r="B92" t="s">
        <v>142</v>
      </c>
      <c r="C92" t="s">
        <v>230</v>
      </c>
      <c r="D92" t="s">
        <v>228</v>
      </c>
      <c r="E92">
        <v>1</v>
      </c>
      <c r="F92" s="1">
        <v>45170</v>
      </c>
      <c r="G92">
        <v>1</v>
      </c>
      <c r="H92" t="s">
        <v>227</v>
      </c>
      <c r="I92" s="1">
        <v>45177</v>
      </c>
      <c r="J92" s="1">
        <v>45181</v>
      </c>
      <c r="K92">
        <v>100</v>
      </c>
      <c r="L92">
        <v>4</v>
      </c>
      <c r="M92">
        <v>1</v>
      </c>
      <c r="N92">
        <v>45</v>
      </c>
      <c r="O92">
        <v>0</v>
      </c>
      <c r="P92">
        <v>0</v>
      </c>
      <c r="Q92">
        <v>0</v>
      </c>
      <c r="R92">
        <v>3</v>
      </c>
    </row>
    <row r="93" spans="1:18" x14ac:dyDescent="0.3">
      <c r="A93" t="s">
        <v>156</v>
      </c>
      <c r="B93" t="s">
        <v>142</v>
      </c>
      <c r="C93" t="s">
        <v>229</v>
      </c>
      <c r="D93" t="s">
        <v>228</v>
      </c>
      <c r="E93">
        <v>1</v>
      </c>
      <c r="F93" s="1">
        <v>42095</v>
      </c>
      <c r="G93">
        <v>1</v>
      </c>
      <c r="H93" t="s">
        <v>227</v>
      </c>
      <c r="I93" s="1">
        <v>42118</v>
      </c>
      <c r="J93" s="1">
        <v>42124</v>
      </c>
      <c r="K93">
        <v>100</v>
      </c>
      <c r="L93">
        <v>6</v>
      </c>
      <c r="M93">
        <v>2</v>
      </c>
      <c r="N93">
        <v>45</v>
      </c>
      <c r="O93">
        <v>0</v>
      </c>
      <c r="P93">
        <v>0</v>
      </c>
      <c r="Q93">
        <v>0</v>
      </c>
      <c r="R93">
        <v>4</v>
      </c>
    </row>
    <row r="94" spans="1:18" x14ac:dyDescent="0.3">
      <c r="A94" t="s">
        <v>167</v>
      </c>
      <c r="B94" t="s">
        <v>142</v>
      </c>
      <c r="C94" t="s">
        <v>229</v>
      </c>
      <c r="D94" t="s">
        <v>228</v>
      </c>
      <c r="E94">
        <v>1</v>
      </c>
      <c r="F94" s="1">
        <v>42186</v>
      </c>
      <c r="G94">
        <v>1</v>
      </c>
      <c r="H94" t="s">
        <v>227</v>
      </c>
      <c r="I94" s="1">
        <v>42198</v>
      </c>
      <c r="J94" s="1">
        <v>42202</v>
      </c>
      <c r="K94">
        <v>100</v>
      </c>
      <c r="L94">
        <v>4</v>
      </c>
      <c r="M94">
        <v>1</v>
      </c>
      <c r="N94">
        <v>45</v>
      </c>
      <c r="O94">
        <v>0</v>
      </c>
      <c r="P94">
        <v>0</v>
      </c>
      <c r="Q94">
        <v>0</v>
      </c>
      <c r="R94">
        <v>3</v>
      </c>
    </row>
    <row r="95" spans="1:18" x14ac:dyDescent="0.3">
      <c r="A95" t="s">
        <v>152</v>
      </c>
      <c r="B95" t="s">
        <v>142</v>
      </c>
      <c r="C95" t="s">
        <v>229</v>
      </c>
      <c r="D95" t="s">
        <v>228</v>
      </c>
      <c r="E95">
        <v>1</v>
      </c>
      <c r="F95" s="1">
        <v>43556</v>
      </c>
      <c r="G95">
        <v>1</v>
      </c>
      <c r="H95" t="s">
        <v>227</v>
      </c>
      <c r="I95" s="1">
        <v>43569</v>
      </c>
      <c r="J95" s="1">
        <v>43572</v>
      </c>
      <c r="K95">
        <v>100</v>
      </c>
      <c r="L95">
        <v>3</v>
      </c>
      <c r="M95">
        <v>1</v>
      </c>
      <c r="N95">
        <v>45</v>
      </c>
      <c r="O95">
        <v>0</v>
      </c>
      <c r="P95">
        <v>0</v>
      </c>
      <c r="Q95">
        <v>0</v>
      </c>
      <c r="R95">
        <v>2</v>
      </c>
    </row>
    <row r="96" spans="1:18" x14ac:dyDescent="0.3">
      <c r="A96" t="s">
        <v>155</v>
      </c>
      <c r="B96" t="s">
        <v>142</v>
      </c>
      <c r="C96" t="s">
        <v>229</v>
      </c>
      <c r="D96" t="s">
        <v>228</v>
      </c>
      <c r="E96">
        <v>1</v>
      </c>
      <c r="F96" s="1">
        <v>42461</v>
      </c>
      <c r="G96">
        <v>1</v>
      </c>
      <c r="H96" t="s">
        <v>227</v>
      </c>
      <c r="I96" s="1">
        <v>42462</v>
      </c>
      <c r="J96" s="1">
        <v>42467</v>
      </c>
      <c r="K96">
        <v>100</v>
      </c>
      <c r="L96">
        <v>5</v>
      </c>
      <c r="M96">
        <v>2</v>
      </c>
      <c r="N96">
        <v>45</v>
      </c>
      <c r="O96">
        <v>0</v>
      </c>
      <c r="P96">
        <v>0</v>
      </c>
      <c r="Q96">
        <v>0</v>
      </c>
      <c r="R96">
        <v>3</v>
      </c>
    </row>
    <row r="97" spans="1:18" x14ac:dyDescent="0.3">
      <c r="A97" t="s">
        <v>166</v>
      </c>
      <c r="B97" t="s">
        <v>142</v>
      </c>
      <c r="C97" t="s">
        <v>231</v>
      </c>
      <c r="D97" t="s">
        <v>228</v>
      </c>
      <c r="E97">
        <v>1</v>
      </c>
      <c r="F97" s="1">
        <v>44228</v>
      </c>
      <c r="G97">
        <v>1</v>
      </c>
      <c r="H97" t="s">
        <v>227</v>
      </c>
      <c r="I97" s="1">
        <v>44244</v>
      </c>
      <c r="J97" s="1">
        <v>44248</v>
      </c>
      <c r="K97">
        <v>100</v>
      </c>
      <c r="L97">
        <v>4</v>
      </c>
      <c r="M97">
        <v>1</v>
      </c>
      <c r="N97">
        <v>45</v>
      </c>
      <c r="O97">
        <v>0</v>
      </c>
      <c r="P97">
        <v>0</v>
      </c>
      <c r="Q97">
        <v>0</v>
      </c>
      <c r="R97">
        <v>3</v>
      </c>
    </row>
    <row r="98" spans="1:18" x14ac:dyDescent="0.3">
      <c r="A98" t="s">
        <v>165</v>
      </c>
      <c r="B98" t="s">
        <v>142</v>
      </c>
      <c r="C98" t="s">
        <v>231</v>
      </c>
      <c r="D98" t="s">
        <v>228</v>
      </c>
      <c r="E98">
        <v>1</v>
      </c>
      <c r="F98" s="1">
        <v>43952</v>
      </c>
      <c r="G98">
        <v>1</v>
      </c>
      <c r="H98" t="s">
        <v>227</v>
      </c>
      <c r="I98" s="1">
        <v>43980</v>
      </c>
      <c r="J98" s="1">
        <v>43983</v>
      </c>
      <c r="K98">
        <v>100</v>
      </c>
      <c r="L98">
        <v>3</v>
      </c>
      <c r="M98">
        <v>1</v>
      </c>
      <c r="N98">
        <v>45</v>
      </c>
      <c r="O98">
        <v>0</v>
      </c>
      <c r="P98">
        <v>0</v>
      </c>
      <c r="Q98">
        <v>0</v>
      </c>
      <c r="R98">
        <v>2</v>
      </c>
    </row>
    <row r="99" spans="1:18" x14ac:dyDescent="0.3">
      <c r="A99" t="s">
        <v>164</v>
      </c>
      <c r="B99" t="s">
        <v>142</v>
      </c>
      <c r="C99" t="s">
        <v>229</v>
      </c>
      <c r="D99" t="s">
        <v>228</v>
      </c>
      <c r="E99">
        <v>1</v>
      </c>
      <c r="F99" s="1">
        <v>43132</v>
      </c>
      <c r="G99">
        <v>1</v>
      </c>
      <c r="H99" t="s">
        <v>227</v>
      </c>
      <c r="I99" s="1">
        <v>43136</v>
      </c>
      <c r="J99" s="1">
        <v>43138</v>
      </c>
      <c r="K99">
        <v>100</v>
      </c>
      <c r="L99">
        <v>2</v>
      </c>
      <c r="M99">
        <v>1</v>
      </c>
      <c r="N99">
        <v>45</v>
      </c>
      <c r="O99">
        <v>0</v>
      </c>
      <c r="P99">
        <v>0</v>
      </c>
      <c r="Q99">
        <v>0</v>
      </c>
      <c r="R99">
        <v>1</v>
      </c>
    </row>
    <row r="100" spans="1:18" x14ac:dyDescent="0.3">
      <c r="A100" t="s">
        <v>163</v>
      </c>
      <c r="B100" t="s">
        <v>142</v>
      </c>
      <c r="C100" t="s">
        <v>229</v>
      </c>
      <c r="D100" t="s">
        <v>228</v>
      </c>
      <c r="E100">
        <v>1</v>
      </c>
      <c r="F100" s="1">
        <v>43160</v>
      </c>
      <c r="G100">
        <v>1</v>
      </c>
      <c r="H100" t="s">
        <v>227</v>
      </c>
      <c r="I100" s="1">
        <v>43172</v>
      </c>
      <c r="J100" s="1">
        <v>43175</v>
      </c>
      <c r="K100">
        <v>100</v>
      </c>
      <c r="L100">
        <v>3</v>
      </c>
      <c r="M100">
        <v>1</v>
      </c>
      <c r="N100">
        <v>45</v>
      </c>
      <c r="O100">
        <v>0</v>
      </c>
      <c r="P100">
        <v>0</v>
      </c>
      <c r="Q100">
        <v>0</v>
      </c>
      <c r="R100">
        <v>2</v>
      </c>
    </row>
    <row r="101" spans="1:18" x14ac:dyDescent="0.3">
      <c r="A101" t="s">
        <v>162</v>
      </c>
      <c r="B101" t="s">
        <v>142</v>
      </c>
      <c r="C101" t="s">
        <v>231</v>
      </c>
      <c r="D101" t="s">
        <v>228</v>
      </c>
      <c r="E101">
        <v>1</v>
      </c>
      <c r="F101" s="1">
        <v>44256</v>
      </c>
      <c r="G101">
        <v>1</v>
      </c>
      <c r="H101" t="s">
        <v>227</v>
      </c>
      <c r="I101" s="1">
        <v>44279</v>
      </c>
      <c r="J101" s="1">
        <v>44285</v>
      </c>
      <c r="K101">
        <v>100</v>
      </c>
      <c r="L101">
        <v>6</v>
      </c>
      <c r="M101">
        <v>4</v>
      </c>
      <c r="N101">
        <v>45</v>
      </c>
      <c r="O101">
        <v>0</v>
      </c>
      <c r="P101">
        <v>0</v>
      </c>
      <c r="Q101">
        <v>0</v>
      </c>
      <c r="R101">
        <v>2</v>
      </c>
    </row>
    <row r="102" spans="1:18" x14ac:dyDescent="0.3">
      <c r="A102" t="s">
        <v>161</v>
      </c>
      <c r="B102" t="s">
        <v>142</v>
      </c>
      <c r="C102" t="s">
        <v>231</v>
      </c>
      <c r="D102" t="s">
        <v>228</v>
      </c>
      <c r="E102">
        <v>1</v>
      </c>
      <c r="F102" s="1">
        <v>44562</v>
      </c>
      <c r="G102">
        <v>1</v>
      </c>
      <c r="H102" t="s">
        <v>227</v>
      </c>
      <c r="I102" s="1">
        <v>44575</v>
      </c>
      <c r="J102" s="1">
        <v>44580</v>
      </c>
      <c r="K102">
        <v>100</v>
      </c>
      <c r="L102">
        <v>5</v>
      </c>
      <c r="M102">
        <v>2</v>
      </c>
      <c r="N102">
        <v>45</v>
      </c>
      <c r="O102">
        <v>0</v>
      </c>
      <c r="P102">
        <v>0</v>
      </c>
      <c r="Q102">
        <v>0</v>
      </c>
      <c r="R102">
        <v>3</v>
      </c>
    </row>
    <row r="103" spans="1:18" x14ac:dyDescent="0.3">
      <c r="A103" t="s">
        <v>160</v>
      </c>
      <c r="B103" t="s">
        <v>142</v>
      </c>
      <c r="C103" t="s">
        <v>229</v>
      </c>
      <c r="D103" t="s">
        <v>228</v>
      </c>
      <c r="E103">
        <v>1</v>
      </c>
      <c r="F103" s="1">
        <v>42948</v>
      </c>
      <c r="G103">
        <v>1</v>
      </c>
      <c r="H103" t="s">
        <v>227</v>
      </c>
      <c r="I103" s="1">
        <v>42966</v>
      </c>
      <c r="J103" s="1">
        <v>42969</v>
      </c>
      <c r="K103">
        <v>100</v>
      </c>
      <c r="L103">
        <v>3</v>
      </c>
      <c r="M103">
        <v>2</v>
      </c>
      <c r="N103">
        <v>45</v>
      </c>
      <c r="O103">
        <v>0</v>
      </c>
      <c r="P103">
        <v>0</v>
      </c>
      <c r="Q103">
        <v>0</v>
      </c>
      <c r="R103">
        <v>1</v>
      </c>
    </row>
    <row r="104" spans="1:18" x14ac:dyDescent="0.3">
      <c r="A104" t="s">
        <v>159</v>
      </c>
      <c r="B104" t="s">
        <v>142</v>
      </c>
      <c r="C104" t="s">
        <v>230</v>
      </c>
      <c r="D104" t="s">
        <v>228</v>
      </c>
      <c r="E104">
        <v>1</v>
      </c>
      <c r="F104" s="1">
        <v>45383</v>
      </c>
      <c r="G104">
        <v>1</v>
      </c>
      <c r="H104" t="s">
        <v>227</v>
      </c>
      <c r="I104" s="1">
        <v>45389</v>
      </c>
      <c r="J104" s="1">
        <v>45391</v>
      </c>
      <c r="K104">
        <v>100</v>
      </c>
      <c r="L104">
        <v>2</v>
      </c>
      <c r="M104">
        <v>1</v>
      </c>
      <c r="N104">
        <v>45</v>
      </c>
      <c r="O104">
        <v>0</v>
      </c>
      <c r="P104">
        <v>0</v>
      </c>
      <c r="Q104">
        <v>0</v>
      </c>
      <c r="R104">
        <v>1</v>
      </c>
    </row>
    <row r="105" spans="1:18" x14ac:dyDescent="0.3">
      <c r="A105" t="s">
        <v>158</v>
      </c>
      <c r="B105" t="s">
        <v>142</v>
      </c>
      <c r="C105" t="s">
        <v>230</v>
      </c>
      <c r="D105" t="s">
        <v>228</v>
      </c>
      <c r="E105">
        <v>1</v>
      </c>
      <c r="F105" s="1">
        <v>44958</v>
      </c>
      <c r="G105">
        <v>1</v>
      </c>
      <c r="H105" t="s">
        <v>227</v>
      </c>
      <c r="I105" s="1">
        <v>44962</v>
      </c>
      <c r="J105" s="1">
        <v>44975</v>
      </c>
      <c r="K105">
        <v>100</v>
      </c>
      <c r="L105">
        <v>13</v>
      </c>
      <c r="M105">
        <v>3</v>
      </c>
      <c r="N105">
        <v>45</v>
      </c>
      <c r="O105">
        <v>0</v>
      </c>
      <c r="P105">
        <v>0</v>
      </c>
      <c r="Q105">
        <v>0</v>
      </c>
      <c r="R105">
        <v>10</v>
      </c>
    </row>
    <row r="106" spans="1:18" x14ac:dyDescent="0.3">
      <c r="A106" t="s">
        <v>157</v>
      </c>
      <c r="B106" t="s">
        <v>142</v>
      </c>
      <c r="C106" t="s">
        <v>229</v>
      </c>
      <c r="D106" t="s">
        <v>228</v>
      </c>
      <c r="E106">
        <v>1</v>
      </c>
      <c r="F106" s="1">
        <v>42401</v>
      </c>
      <c r="G106">
        <v>0.85</v>
      </c>
      <c r="H106" t="s">
        <v>227</v>
      </c>
      <c r="I106" s="1">
        <v>42394</v>
      </c>
      <c r="J106" s="1">
        <v>42414</v>
      </c>
      <c r="K106">
        <v>100</v>
      </c>
      <c r="L106">
        <v>20</v>
      </c>
      <c r="M106">
        <v>3</v>
      </c>
      <c r="N106">
        <v>45</v>
      </c>
      <c r="O106">
        <v>0</v>
      </c>
      <c r="P106">
        <v>0</v>
      </c>
      <c r="Q106">
        <v>0</v>
      </c>
      <c r="R106">
        <v>17</v>
      </c>
    </row>
    <row r="107" spans="1:18" x14ac:dyDescent="0.3">
      <c r="A107" t="s">
        <v>286</v>
      </c>
      <c r="B107" t="s">
        <v>142</v>
      </c>
      <c r="C107" t="s">
        <v>231</v>
      </c>
      <c r="D107" t="s">
        <v>228</v>
      </c>
      <c r="E107">
        <v>1</v>
      </c>
      <c r="F107" s="1">
        <v>44501</v>
      </c>
      <c r="G107">
        <v>0.5</v>
      </c>
      <c r="H107" t="s">
        <v>227</v>
      </c>
      <c r="I107" s="1">
        <v>44505</v>
      </c>
      <c r="J107" s="1">
        <v>44513</v>
      </c>
      <c r="K107">
        <v>100</v>
      </c>
      <c r="L107">
        <v>8</v>
      </c>
      <c r="M107">
        <v>2</v>
      </c>
      <c r="N107">
        <v>45</v>
      </c>
      <c r="O107">
        <v>0</v>
      </c>
      <c r="P107">
        <v>0</v>
      </c>
      <c r="Q107">
        <v>0</v>
      </c>
      <c r="R107">
        <v>6</v>
      </c>
    </row>
    <row r="108" spans="1:18" x14ac:dyDescent="0.3">
      <c r="A108" t="s">
        <v>286</v>
      </c>
      <c r="B108" t="s">
        <v>142</v>
      </c>
      <c r="C108" t="s">
        <v>230</v>
      </c>
      <c r="D108" t="s">
        <v>228</v>
      </c>
      <c r="E108">
        <v>2</v>
      </c>
      <c r="F108" s="1">
        <v>45809</v>
      </c>
      <c r="G108">
        <v>1</v>
      </c>
      <c r="H108" t="s">
        <v>227</v>
      </c>
      <c r="I108" s="1">
        <v>45819</v>
      </c>
      <c r="J108" s="1">
        <v>45836</v>
      </c>
      <c r="K108">
        <v>100</v>
      </c>
      <c r="L108">
        <v>17</v>
      </c>
      <c r="M108">
        <v>7</v>
      </c>
      <c r="N108">
        <v>45</v>
      </c>
      <c r="O108">
        <v>0</v>
      </c>
      <c r="P108">
        <v>0</v>
      </c>
      <c r="Q108">
        <v>0</v>
      </c>
      <c r="R108">
        <v>10</v>
      </c>
    </row>
    <row r="109" spans="1:18" x14ac:dyDescent="0.3">
      <c r="A109" t="s">
        <v>285</v>
      </c>
      <c r="B109" t="s">
        <v>142</v>
      </c>
      <c r="C109" t="s">
        <v>230</v>
      </c>
      <c r="D109" t="s">
        <v>228</v>
      </c>
      <c r="E109">
        <v>1</v>
      </c>
      <c r="F109" s="1">
        <v>45170</v>
      </c>
      <c r="G109">
        <v>1</v>
      </c>
      <c r="H109" t="s">
        <v>227</v>
      </c>
      <c r="I109" s="1">
        <v>45180</v>
      </c>
      <c r="J109" s="1">
        <v>45189</v>
      </c>
      <c r="K109">
        <v>100</v>
      </c>
      <c r="L109">
        <v>9</v>
      </c>
      <c r="M109">
        <v>6</v>
      </c>
      <c r="N109">
        <v>45</v>
      </c>
      <c r="O109">
        <v>0</v>
      </c>
      <c r="P109">
        <v>0</v>
      </c>
      <c r="Q109">
        <v>0</v>
      </c>
      <c r="R109">
        <v>3</v>
      </c>
    </row>
    <row r="110" spans="1:18" x14ac:dyDescent="0.3">
      <c r="A110" t="s">
        <v>284</v>
      </c>
      <c r="B110" t="s">
        <v>142</v>
      </c>
      <c r="C110" t="s">
        <v>230</v>
      </c>
      <c r="D110" t="s">
        <v>228</v>
      </c>
      <c r="E110">
        <v>1</v>
      </c>
      <c r="F110" s="1">
        <v>45078</v>
      </c>
      <c r="G110">
        <v>1</v>
      </c>
      <c r="H110" t="s">
        <v>227</v>
      </c>
      <c r="I110" s="1">
        <v>45097</v>
      </c>
      <c r="J110" s="1">
        <v>45102</v>
      </c>
      <c r="K110">
        <v>100</v>
      </c>
      <c r="L110">
        <v>5</v>
      </c>
      <c r="M110">
        <v>2</v>
      </c>
      <c r="N110">
        <v>45</v>
      </c>
      <c r="O110">
        <v>0</v>
      </c>
      <c r="P110">
        <v>0</v>
      </c>
      <c r="Q110">
        <v>0</v>
      </c>
      <c r="R110">
        <v>3</v>
      </c>
    </row>
    <row r="111" spans="1:18" x14ac:dyDescent="0.3">
      <c r="A111" t="s">
        <v>283</v>
      </c>
      <c r="B111" t="s">
        <v>142</v>
      </c>
      <c r="C111" t="s">
        <v>230</v>
      </c>
      <c r="D111" t="s">
        <v>228</v>
      </c>
      <c r="E111">
        <v>1</v>
      </c>
      <c r="F111" s="1">
        <v>45017</v>
      </c>
      <c r="G111">
        <v>1</v>
      </c>
      <c r="H111" t="s">
        <v>227</v>
      </c>
      <c r="I111" s="1">
        <v>45035</v>
      </c>
      <c r="J111" s="1">
        <v>45038</v>
      </c>
      <c r="K111">
        <v>100</v>
      </c>
      <c r="L111">
        <v>3</v>
      </c>
      <c r="M111">
        <v>1</v>
      </c>
      <c r="N111">
        <v>45</v>
      </c>
      <c r="O111">
        <v>0</v>
      </c>
      <c r="P111">
        <v>0</v>
      </c>
      <c r="Q111">
        <v>0</v>
      </c>
      <c r="R111">
        <v>2</v>
      </c>
    </row>
    <row r="112" spans="1:18" x14ac:dyDescent="0.3">
      <c r="A112" t="s">
        <v>282</v>
      </c>
      <c r="B112" t="s">
        <v>142</v>
      </c>
      <c r="C112" t="s">
        <v>231</v>
      </c>
      <c r="D112" t="s">
        <v>228</v>
      </c>
      <c r="E112">
        <v>1</v>
      </c>
      <c r="F112" s="1">
        <v>44774</v>
      </c>
      <c r="G112">
        <v>1</v>
      </c>
      <c r="H112" t="s">
        <v>287</v>
      </c>
      <c r="I112" s="1">
        <v>44777</v>
      </c>
      <c r="J112" s="1">
        <v>44792</v>
      </c>
      <c r="K112">
        <v>100</v>
      </c>
      <c r="L112">
        <v>15</v>
      </c>
      <c r="M112">
        <v>2</v>
      </c>
      <c r="N112">
        <v>45</v>
      </c>
      <c r="O112">
        <v>0</v>
      </c>
      <c r="P112">
        <v>0</v>
      </c>
      <c r="Q112">
        <v>0</v>
      </c>
      <c r="R112">
        <v>13</v>
      </c>
    </row>
    <row r="113" spans="1:18" x14ac:dyDescent="0.3">
      <c r="A113" t="s">
        <v>281</v>
      </c>
      <c r="B113" t="s">
        <v>176</v>
      </c>
      <c r="C113" t="s">
        <v>229</v>
      </c>
      <c r="D113" t="s">
        <v>228</v>
      </c>
      <c r="E113">
        <v>1</v>
      </c>
      <c r="F113" s="1">
        <v>42248</v>
      </c>
      <c r="G113">
        <v>1</v>
      </c>
      <c r="H113" t="s">
        <v>227</v>
      </c>
      <c r="I113" s="1">
        <v>42127</v>
      </c>
      <c r="J113" s="1">
        <v>42435</v>
      </c>
      <c r="K113">
        <v>100</v>
      </c>
      <c r="L113">
        <v>308</v>
      </c>
      <c r="M113">
        <v>77</v>
      </c>
      <c r="N113">
        <v>360</v>
      </c>
      <c r="O113">
        <v>0</v>
      </c>
      <c r="P113">
        <v>1</v>
      </c>
      <c r="Q113">
        <v>0</v>
      </c>
      <c r="R113">
        <v>231</v>
      </c>
    </row>
    <row r="114" spans="1:18" x14ac:dyDescent="0.3">
      <c r="A114" t="s">
        <v>280</v>
      </c>
      <c r="B114" t="s">
        <v>176</v>
      </c>
      <c r="C114" t="s">
        <v>230</v>
      </c>
      <c r="D114" t="s">
        <v>228</v>
      </c>
      <c r="E114">
        <v>1</v>
      </c>
      <c r="F114" s="1">
        <v>46235</v>
      </c>
      <c r="G114">
        <v>1</v>
      </c>
      <c r="H114" t="s">
        <v>227</v>
      </c>
      <c r="I114" s="1">
        <v>46251</v>
      </c>
      <c r="J114" s="1">
        <v>46253</v>
      </c>
      <c r="K114">
        <v>100</v>
      </c>
      <c r="L114">
        <v>2</v>
      </c>
      <c r="M114">
        <v>1</v>
      </c>
      <c r="N114">
        <v>45</v>
      </c>
      <c r="O114">
        <v>0</v>
      </c>
      <c r="P114">
        <v>0</v>
      </c>
      <c r="Q114">
        <v>0</v>
      </c>
      <c r="R114">
        <v>1</v>
      </c>
    </row>
    <row r="115" spans="1:18" x14ac:dyDescent="0.3">
      <c r="A115" t="s">
        <v>279</v>
      </c>
      <c r="B115" t="s">
        <v>176</v>
      </c>
      <c r="C115" t="s">
        <v>231</v>
      </c>
      <c r="D115" t="s">
        <v>228</v>
      </c>
      <c r="E115">
        <v>1</v>
      </c>
      <c r="F115" s="1">
        <v>44682</v>
      </c>
      <c r="G115">
        <v>1</v>
      </c>
      <c r="H115" t="s">
        <v>227</v>
      </c>
      <c r="I115" s="1">
        <v>44685</v>
      </c>
      <c r="J115" s="1">
        <v>44690</v>
      </c>
      <c r="K115">
        <v>100</v>
      </c>
      <c r="L115">
        <v>5</v>
      </c>
      <c r="M115">
        <v>1</v>
      </c>
      <c r="N115">
        <v>45</v>
      </c>
      <c r="O115">
        <v>0</v>
      </c>
      <c r="P115">
        <v>0</v>
      </c>
      <c r="Q115">
        <v>0</v>
      </c>
      <c r="R115">
        <v>4</v>
      </c>
    </row>
    <row r="116" spans="1:18" x14ac:dyDescent="0.3">
      <c r="A116" t="s">
        <v>279</v>
      </c>
      <c r="B116" t="s">
        <v>176</v>
      </c>
      <c r="C116" t="s">
        <v>230</v>
      </c>
      <c r="D116" t="s">
        <v>228</v>
      </c>
      <c r="E116">
        <v>2</v>
      </c>
      <c r="F116" s="1">
        <v>46082</v>
      </c>
      <c r="G116">
        <v>1</v>
      </c>
      <c r="H116" t="s">
        <v>227</v>
      </c>
      <c r="I116" s="1">
        <v>46082</v>
      </c>
      <c r="J116" s="1">
        <v>46087</v>
      </c>
      <c r="K116">
        <v>100</v>
      </c>
      <c r="L116">
        <v>5</v>
      </c>
      <c r="M116">
        <v>4</v>
      </c>
      <c r="N116">
        <v>45</v>
      </c>
      <c r="O116">
        <v>0</v>
      </c>
      <c r="P116">
        <v>0</v>
      </c>
      <c r="Q116">
        <v>0</v>
      </c>
      <c r="R116">
        <v>1</v>
      </c>
    </row>
    <row r="117" spans="1:18" x14ac:dyDescent="0.3">
      <c r="A117" t="s">
        <v>278</v>
      </c>
      <c r="B117" t="s">
        <v>142</v>
      </c>
      <c r="C117" t="s">
        <v>231</v>
      </c>
      <c r="D117" t="s">
        <v>228</v>
      </c>
      <c r="E117">
        <v>1</v>
      </c>
      <c r="F117" s="1">
        <v>44317</v>
      </c>
      <c r="G117">
        <v>1</v>
      </c>
      <c r="H117" t="s">
        <v>227</v>
      </c>
      <c r="I117" s="1">
        <v>44157</v>
      </c>
      <c r="J117" s="1">
        <v>44654</v>
      </c>
      <c r="K117">
        <v>100</v>
      </c>
      <c r="L117">
        <v>497</v>
      </c>
      <c r="M117">
        <v>105</v>
      </c>
      <c r="N117">
        <v>360</v>
      </c>
      <c r="O117">
        <v>0</v>
      </c>
      <c r="P117">
        <v>1</v>
      </c>
      <c r="Q117">
        <v>0</v>
      </c>
      <c r="R117">
        <v>392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11B665-0F2D-4FC0-8DD3-AF79A4EAC65B}">
  <dimension ref="A1:R199"/>
  <sheetViews>
    <sheetView tabSelected="1" topLeftCell="H166" workbookViewId="0">
      <selection activeCell="U194" sqref="U194"/>
    </sheetView>
  </sheetViews>
  <sheetFormatPr defaultRowHeight="14.4" x14ac:dyDescent="0.3"/>
  <cols>
    <col min="1" max="1" width="32.6640625" bestFit="1" customWidth="1"/>
    <col min="2" max="2" width="10.6640625" bestFit="1" customWidth="1"/>
    <col min="3" max="3" width="10.5546875" bestFit="1" customWidth="1"/>
    <col min="4" max="4" width="6.33203125" bestFit="1" customWidth="1"/>
    <col min="5" max="5" width="15.77734375" bestFit="1" customWidth="1"/>
    <col min="6" max="6" width="18" bestFit="1" customWidth="1"/>
    <col min="7" max="7" width="15.109375" bestFit="1" customWidth="1"/>
    <col min="8" max="8" width="30.5546875" bestFit="1" customWidth="1"/>
    <col min="9" max="9" width="17.88671875" bestFit="1" customWidth="1"/>
    <col min="10" max="10" width="17.21875" bestFit="1" customWidth="1"/>
    <col min="11" max="11" width="12.88671875" bestFit="1" customWidth="1"/>
    <col min="12" max="12" width="18" bestFit="1" customWidth="1"/>
    <col min="13" max="13" width="20" bestFit="1" customWidth="1"/>
    <col min="14" max="14" width="16.21875" bestFit="1" customWidth="1"/>
    <col min="15" max="15" width="17.44140625" bestFit="1" customWidth="1"/>
    <col min="16" max="16" width="28" bestFit="1" customWidth="1"/>
    <col min="17" max="17" width="24.109375" bestFit="1" customWidth="1"/>
    <col min="18" max="18" width="26.6640625" customWidth="1"/>
  </cols>
  <sheetData>
    <row r="1" spans="1:18" x14ac:dyDescent="0.3">
      <c r="A1" t="s">
        <v>123</v>
      </c>
      <c r="B1" t="s">
        <v>122</v>
      </c>
      <c r="C1" t="s">
        <v>249</v>
      </c>
      <c r="D1" t="s">
        <v>248</v>
      </c>
      <c r="E1" t="s">
        <v>247</v>
      </c>
      <c r="F1" t="s">
        <v>246</v>
      </c>
      <c r="G1" t="s">
        <v>245</v>
      </c>
      <c r="H1" t="s">
        <v>244</v>
      </c>
      <c r="I1" t="s">
        <v>243</v>
      </c>
      <c r="J1" t="s">
        <v>242</v>
      </c>
      <c r="K1" t="s">
        <v>241</v>
      </c>
      <c r="L1" t="s">
        <v>240</v>
      </c>
      <c r="M1" t="s">
        <v>239</v>
      </c>
      <c r="N1" t="s">
        <v>238</v>
      </c>
      <c r="O1" t="s">
        <v>237</v>
      </c>
      <c r="P1" t="s">
        <v>236</v>
      </c>
      <c r="Q1" t="s">
        <v>235</v>
      </c>
      <c r="R1" t="s">
        <v>234</v>
      </c>
    </row>
    <row r="2" spans="1:18" x14ac:dyDescent="0.3">
      <c r="A2" t="s">
        <v>114</v>
      </c>
      <c r="B2" t="s">
        <v>0</v>
      </c>
      <c r="C2" t="s">
        <v>229</v>
      </c>
      <c r="D2" t="s">
        <v>228</v>
      </c>
      <c r="E2">
        <v>1</v>
      </c>
      <c r="F2" s="1">
        <v>42278</v>
      </c>
      <c r="G2">
        <v>1</v>
      </c>
      <c r="H2" t="s">
        <v>227</v>
      </c>
      <c r="I2" s="1">
        <v>42292</v>
      </c>
      <c r="J2" s="1">
        <v>42309</v>
      </c>
      <c r="K2">
        <v>100</v>
      </c>
      <c r="L2">
        <v>17</v>
      </c>
      <c r="M2">
        <v>1</v>
      </c>
      <c r="N2">
        <v>45</v>
      </c>
      <c r="O2">
        <v>0</v>
      </c>
      <c r="P2">
        <v>0</v>
      </c>
      <c r="Q2">
        <v>0</v>
      </c>
      <c r="R2">
        <f>Table1_15[[#This Row],[peak_width_days]]-Table1_15[[#This Row],[time_to_peak_days]]</f>
        <v>16</v>
      </c>
    </row>
    <row r="3" spans="1:18" x14ac:dyDescent="0.3">
      <c r="A3" t="s">
        <v>111</v>
      </c>
      <c r="B3" t="s">
        <v>0</v>
      </c>
      <c r="C3" t="s">
        <v>229</v>
      </c>
      <c r="D3" t="s">
        <v>228</v>
      </c>
      <c r="E3">
        <v>1</v>
      </c>
      <c r="F3" s="1">
        <v>42767</v>
      </c>
      <c r="G3">
        <v>1</v>
      </c>
      <c r="H3" t="s">
        <v>227</v>
      </c>
      <c r="I3" s="1">
        <v>42764</v>
      </c>
      <c r="J3" s="1">
        <v>42819</v>
      </c>
      <c r="K3">
        <v>100</v>
      </c>
      <c r="L3">
        <v>55</v>
      </c>
      <c r="M3">
        <v>7</v>
      </c>
      <c r="N3">
        <v>90</v>
      </c>
      <c r="O3">
        <v>0</v>
      </c>
      <c r="P3">
        <v>0</v>
      </c>
      <c r="Q3">
        <v>0</v>
      </c>
      <c r="R3">
        <f>Table1_15[[#This Row],[peak_width_days]]-Table1_15[[#This Row],[time_to_peak_days]]</f>
        <v>48</v>
      </c>
    </row>
    <row r="4" spans="1:18" x14ac:dyDescent="0.3">
      <c r="A4" t="s">
        <v>110</v>
      </c>
      <c r="B4" t="s">
        <v>0</v>
      </c>
      <c r="C4" t="s">
        <v>229</v>
      </c>
      <c r="D4" t="s">
        <v>228</v>
      </c>
      <c r="E4">
        <v>1</v>
      </c>
      <c r="F4" s="1">
        <v>42491</v>
      </c>
      <c r="G4">
        <v>1</v>
      </c>
      <c r="H4" t="s">
        <v>227</v>
      </c>
      <c r="I4" s="1">
        <v>42491</v>
      </c>
      <c r="J4" s="1">
        <v>42541</v>
      </c>
      <c r="K4">
        <v>100</v>
      </c>
      <c r="L4">
        <v>50</v>
      </c>
      <c r="M4">
        <v>8</v>
      </c>
      <c r="N4">
        <v>90</v>
      </c>
      <c r="O4">
        <v>0</v>
      </c>
      <c r="P4">
        <v>0</v>
      </c>
      <c r="Q4">
        <v>0</v>
      </c>
      <c r="R4">
        <f>Table1_15[[#This Row],[peak_width_days]]-Table1_15[[#This Row],[time_to_peak_days]]</f>
        <v>42</v>
      </c>
    </row>
    <row r="5" spans="1:18" x14ac:dyDescent="0.3">
      <c r="A5" t="s">
        <v>109</v>
      </c>
      <c r="B5" t="s">
        <v>0</v>
      </c>
      <c r="C5" t="s">
        <v>229</v>
      </c>
      <c r="D5" t="s">
        <v>228</v>
      </c>
      <c r="E5">
        <v>1</v>
      </c>
      <c r="F5" s="1">
        <v>42217</v>
      </c>
      <c r="G5">
        <v>1</v>
      </c>
      <c r="H5" t="s">
        <v>227</v>
      </c>
      <c r="I5" s="1">
        <v>42235</v>
      </c>
      <c r="J5" s="1">
        <v>42244</v>
      </c>
      <c r="K5">
        <v>100</v>
      </c>
      <c r="L5">
        <v>9</v>
      </c>
      <c r="M5">
        <v>1</v>
      </c>
      <c r="N5">
        <v>45</v>
      </c>
      <c r="O5">
        <v>0</v>
      </c>
      <c r="P5">
        <v>0</v>
      </c>
      <c r="Q5">
        <v>0</v>
      </c>
      <c r="R5">
        <f>Table1_15[[#This Row],[peak_width_days]]-Table1_15[[#This Row],[time_to_peak_days]]</f>
        <v>8</v>
      </c>
    </row>
    <row r="6" spans="1:18" x14ac:dyDescent="0.3">
      <c r="A6" t="s">
        <v>108</v>
      </c>
      <c r="B6" t="s">
        <v>0</v>
      </c>
      <c r="C6" t="s">
        <v>229</v>
      </c>
      <c r="D6" t="s">
        <v>228</v>
      </c>
      <c r="E6">
        <v>1</v>
      </c>
      <c r="F6" s="1">
        <v>43466</v>
      </c>
      <c r="G6">
        <v>1</v>
      </c>
      <c r="H6" t="s">
        <v>227</v>
      </c>
      <c r="I6" s="1">
        <v>43456</v>
      </c>
      <c r="J6" s="1">
        <v>43498</v>
      </c>
      <c r="K6">
        <v>100</v>
      </c>
      <c r="L6">
        <v>42</v>
      </c>
      <c r="M6">
        <v>17</v>
      </c>
      <c r="N6">
        <v>45</v>
      </c>
      <c r="O6">
        <v>0</v>
      </c>
      <c r="P6">
        <v>0</v>
      </c>
      <c r="Q6">
        <v>0</v>
      </c>
      <c r="R6">
        <f>Table1_15[[#This Row],[peak_width_days]]-Table1_15[[#This Row],[time_to_peak_days]]</f>
        <v>25</v>
      </c>
    </row>
    <row r="7" spans="1:18" x14ac:dyDescent="0.3">
      <c r="A7" t="s">
        <v>106</v>
      </c>
      <c r="B7" t="s">
        <v>0</v>
      </c>
      <c r="C7" t="s">
        <v>229</v>
      </c>
      <c r="D7" t="s">
        <v>228</v>
      </c>
      <c r="E7">
        <v>1</v>
      </c>
      <c r="F7" s="1">
        <v>43282</v>
      </c>
      <c r="G7">
        <v>1</v>
      </c>
      <c r="H7" t="s">
        <v>227</v>
      </c>
      <c r="I7" s="1">
        <v>43299</v>
      </c>
      <c r="J7" s="1">
        <v>43311</v>
      </c>
      <c r="K7">
        <v>100</v>
      </c>
      <c r="L7">
        <v>12</v>
      </c>
      <c r="M7">
        <v>4</v>
      </c>
      <c r="N7">
        <v>45</v>
      </c>
      <c r="O7">
        <v>0</v>
      </c>
      <c r="P7">
        <v>0</v>
      </c>
      <c r="Q7">
        <v>0</v>
      </c>
      <c r="R7">
        <f>Table1_15[[#This Row],[peak_width_days]]-Table1_15[[#This Row],[time_to_peak_days]]</f>
        <v>8</v>
      </c>
    </row>
    <row r="8" spans="1:18" x14ac:dyDescent="0.3">
      <c r="A8" t="s">
        <v>105</v>
      </c>
      <c r="B8" t="s">
        <v>0</v>
      </c>
      <c r="C8" t="s">
        <v>229</v>
      </c>
      <c r="D8" t="s">
        <v>228</v>
      </c>
      <c r="E8">
        <v>1</v>
      </c>
      <c r="F8" s="1">
        <v>43282</v>
      </c>
      <c r="G8">
        <v>1</v>
      </c>
      <c r="H8" t="s">
        <v>227</v>
      </c>
      <c r="I8" s="1">
        <v>43301</v>
      </c>
      <c r="J8" s="1">
        <v>43317</v>
      </c>
      <c r="K8">
        <v>100</v>
      </c>
      <c r="L8">
        <v>16</v>
      </c>
      <c r="M8">
        <v>5</v>
      </c>
      <c r="N8">
        <v>45</v>
      </c>
      <c r="O8">
        <v>0</v>
      </c>
      <c r="P8">
        <v>0</v>
      </c>
      <c r="Q8">
        <v>0</v>
      </c>
      <c r="R8">
        <f>Table1_15[[#This Row],[peak_width_days]]-Table1_15[[#This Row],[time_to_peak_days]]</f>
        <v>11</v>
      </c>
    </row>
    <row r="9" spans="1:18" x14ac:dyDescent="0.3">
      <c r="A9" t="s">
        <v>105</v>
      </c>
      <c r="B9" t="s">
        <v>0</v>
      </c>
      <c r="C9" t="s">
        <v>231</v>
      </c>
      <c r="D9" t="s">
        <v>228</v>
      </c>
      <c r="E9">
        <v>2</v>
      </c>
      <c r="F9" s="1">
        <v>44409</v>
      </c>
      <c r="G9">
        <v>0.66669999999999996</v>
      </c>
      <c r="H9" t="s">
        <v>227</v>
      </c>
      <c r="I9" s="1">
        <v>44404</v>
      </c>
      <c r="J9" s="1">
        <v>44442</v>
      </c>
      <c r="K9">
        <v>100</v>
      </c>
      <c r="L9">
        <v>38</v>
      </c>
      <c r="M9">
        <v>2</v>
      </c>
      <c r="N9">
        <v>45</v>
      </c>
      <c r="O9">
        <v>0</v>
      </c>
      <c r="P9">
        <v>0</v>
      </c>
      <c r="Q9">
        <v>0</v>
      </c>
      <c r="R9">
        <f>Table1_15[[#This Row],[peak_width_days]]-Table1_15[[#This Row],[time_to_peak_days]]</f>
        <v>36</v>
      </c>
    </row>
    <row r="10" spans="1:18" x14ac:dyDescent="0.3">
      <c r="A10" t="s">
        <v>104</v>
      </c>
      <c r="B10" t="s">
        <v>0</v>
      </c>
      <c r="C10" t="s">
        <v>229</v>
      </c>
      <c r="D10" t="s">
        <v>228</v>
      </c>
      <c r="E10">
        <v>1</v>
      </c>
      <c r="F10" s="1">
        <v>43282</v>
      </c>
      <c r="G10">
        <v>1</v>
      </c>
      <c r="H10" t="s">
        <v>227</v>
      </c>
      <c r="I10" s="1">
        <v>43307</v>
      </c>
      <c r="J10" s="1">
        <v>43319</v>
      </c>
      <c r="K10">
        <v>100</v>
      </c>
      <c r="L10">
        <v>12</v>
      </c>
      <c r="M10">
        <v>3</v>
      </c>
      <c r="N10">
        <v>45</v>
      </c>
      <c r="O10">
        <v>0</v>
      </c>
      <c r="P10">
        <v>0</v>
      </c>
      <c r="Q10">
        <v>0</v>
      </c>
      <c r="R10">
        <f>Table1_15[[#This Row],[peak_width_days]]-Table1_15[[#This Row],[time_to_peak_days]]</f>
        <v>9</v>
      </c>
    </row>
    <row r="11" spans="1:18" x14ac:dyDescent="0.3">
      <c r="A11" t="s">
        <v>104</v>
      </c>
      <c r="B11" t="s">
        <v>0</v>
      </c>
      <c r="C11" t="s">
        <v>231</v>
      </c>
      <c r="D11" t="s">
        <v>228</v>
      </c>
      <c r="E11">
        <v>2</v>
      </c>
      <c r="F11" s="1">
        <v>44044</v>
      </c>
      <c r="G11">
        <v>0.875</v>
      </c>
      <c r="H11" t="s">
        <v>227</v>
      </c>
      <c r="I11" s="1">
        <v>44047</v>
      </c>
      <c r="J11" s="1">
        <v>44052</v>
      </c>
      <c r="K11">
        <v>100</v>
      </c>
      <c r="L11">
        <v>5</v>
      </c>
      <c r="M11">
        <v>1</v>
      </c>
      <c r="N11">
        <v>45</v>
      </c>
      <c r="O11">
        <v>0</v>
      </c>
      <c r="P11">
        <v>0</v>
      </c>
      <c r="Q11">
        <v>0</v>
      </c>
      <c r="R11">
        <f>Table1_15[[#This Row],[peak_width_days]]-Table1_15[[#This Row],[time_to_peak_days]]</f>
        <v>4</v>
      </c>
    </row>
    <row r="12" spans="1:18" x14ac:dyDescent="0.3">
      <c r="A12" t="s">
        <v>104</v>
      </c>
      <c r="B12" t="s">
        <v>0</v>
      </c>
      <c r="C12" t="s">
        <v>230</v>
      </c>
      <c r="D12" t="s">
        <v>228</v>
      </c>
      <c r="E12">
        <v>3</v>
      </c>
      <c r="F12" s="1">
        <v>45627</v>
      </c>
      <c r="G12">
        <v>0.625</v>
      </c>
      <c r="H12" t="s">
        <v>227</v>
      </c>
      <c r="I12" s="1">
        <v>45645</v>
      </c>
      <c r="J12" s="1">
        <v>45689</v>
      </c>
      <c r="K12">
        <v>100</v>
      </c>
      <c r="L12">
        <v>44</v>
      </c>
      <c r="M12">
        <v>6</v>
      </c>
      <c r="N12">
        <v>90</v>
      </c>
      <c r="O12">
        <v>0</v>
      </c>
      <c r="P12">
        <v>0</v>
      </c>
      <c r="Q12">
        <v>0</v>
      </c>
      <c r="R12">
        <f>Table1_15[[#This Row],[peak_width_days]]-Table1_15[[#This Row],[time_to_peak_days]]</f>
        <v>38</v>
      </c>
    </row>
    <row r="13" spans="1:18" x14ac:dyDescent="0.3">
      <c r="A13" t="s">
        <v>103</v>
      </c>
      <c r="B13" t="s">
        <v>0</v>
      </c>
      <c r="C13" t="s">
        <v>231</v>
      </c>
      <c r="D13" t="s">
        <v>228</v>
      </c>
      <c r="E13">
        <v>1</v>
      </c>
      <c r="F13" s="1">
        <v>44287</v>
      </c>
      <c r="G13">
        <v>1</v>
      </c>
      <c r="H13" t="s">
        <v>227</v>
      </c>
      <c r="I13" s="1">
        <v>44313</v>
      </c>
      <c r="J13" s="1">
        <v>44317</v>
      </c>
      <c r="K13">
        <v>100</v>
      </c>
      <c r="L13">
        <v>4</v>
      </c>
      <c r="M13">
        <v>2</v>
      </c>
      <c r="N13">
        <v>45</v>
      </c>
      <c r="O13">
        <v>0</v>
      </c>
      <c r="P13">
        <v>0</v>
      </c>
      <c r="Q13">
        <v>0</v>
      </c>
      <c r="R13">
        <f>Table1_15[[#This Row],[peak_width_days]]-Table1_15[[#This Row],[time_to_peak_days]]</f>
        <v>2</v>
      </c>
    </row>
    <row r="14" spans="1:18" x14ac:dyDescent="0.3">
      <c r="A14" t="s">
        <v>102</v>
      </c>
      <c r="B14" t="s">
        <v>0</v>
      </c>
      <c r="C14" t="s">
        <v>229</v>
      </c>
      <c r="D14" t="s">
        <v>228</v>
      </c>
      <c r="E14">
        <v>1</v>
      </c>
      <c r="F14" s="1">
        <v>43374</v>
      </c>
      <c r="G14">
        <v>1</v>
      </c>
      <c r="H14" t="s">
        <v>227</v>
      </c>
      <c r="I14" s="1">
        <v>43365</v>
      </c>
      <c r="J14" s="1">
        <v>43386</v>
      </c>
      <c r="K14">
        <v>100</v>
      </c>
      <c r="L14">
        <v>21</v>
      </c>
      <c r="M14">
        <v>18</v>
      </c>
      <c r="N14">
        <v>45</v>
      </c>
      <c r="O14">
        <v>0</v>
      </c>
      <c r="P14">
        <v>0</v>
      </c>
      <c r="Q14">
        <v>0</v>
      </c>
      <c r="R14">
        <f>Table1_15[[#This Row],[peak_width_days]]-Table1_15[[#This Row],[time_to_peak_days]]</f>
        <v>3</v>
      </c>
    </row>
    <row r="15" spans="1:18" x14ac:dyDescent="0.3">
      <c r="A15" t="s">
        <v>99</v>
      </c>
      <c r="B15" t="s">
        <v>0</v>
      </c>
      <c r="C15" t="s">
        <v>229</v>
      </c>
      <c r="D15" t="s">
        <v>228</v>
      </c>
      <c r="E15">
        <v>1</v>
      </c>
      <c r="F15" s="1">
        <v>43647</v>
      </c>
      <c r="G15">
        <v>1</v>
      </c>
      <c r="H15" t="s">
        <v>227</v>
      </c>
      <c r="I15" s="1">
        <v>43642</v>
      </c>
      <c r="J15" s="1">
        <v>43649</v>
      </c>
      <c r="K15">
        <v>100</v>
      </c>
      <c r="L15">
        <v>7</v>
      </c>
      <c r="M15">
        <v>4</v>
      </c>
      <c r="N15">
        <v>45</v>
      </c>
      <c r="O15">
        <v>0</v>
      </c>
      <c r="P15">
        <v>0</v>
      </c>
      <c r="Q15">
        <v>0</v>
      </c>
      <c r="R15">
        <f>Table1_15[[#This Row],[peak_width_days]]-Table1_15[[#This Row],[time_to_peak_days]]</f>
        <v>3</v>
      </c>
    </row>
    <row r="16" spans="1:18" x14ac:dyDescent="0.3">
      <c r="A16" t="s">
        <v>99</v>
      </c>
      <c r="B16" t="s">
        <v>0</v>
      </c>
      <c r="C16" t="s">
        <v>231</v>
      </c>
      <c r="D16" t="s">
        <v>228</v>
      </c>
      <c r="E16">
        <v>2</v>
      </c>
      <c r="F16" s="1">
        <v>43831</v>
      </c>
      <c r="G16">
        <v>1</v>
      </c>
      <c r="H16" t="s">
        <v>227</v>
      </c>
      <c r="I16" s="1">
        <v>43880</v>
      </c>
      <c r="J16" s="1">
        <v>43892</v>
      </c>
      <c r="K16">
        <v>100</v>
      </c>
      <c r="L16">
        <v>12</v>
      </c>
      <c r="M16">
        <v>4</v>
      </c>
      <c r="N16">
        <v>90</v>
      </c>
      <c r="O16">
        <v>0</v>
      </c>
      <c r="P16">
        <v>0</v>
      </c>
      <c r="Q16">
        <v>0</v>
      </c>
      <c r="R16">
        <f>Table1_15[[#This Row],[peak_width_days]]-Table1_15[[#This Row],[time_to_peak_days]]</f>
        <v>8</v>
      </c>
    </row>
    <row r="17" spans="1:18" x14ac:dyDescent="0.3">
      <c r="A17" t="s">
        <v>96</v>
      </c>
      <c r="B17" t="s">
        <v>0</v>
      </c>
      <c r="C17" t="s">
        <v>231</v>
      </c>
      <c r="D17" t="s">
        <v>228</v>
      </c>
      <c r="E17">
        <v>2</v>
      </c>
      <c r="F17" s="1">
        <v>44256</v>
      </c>
      <c r="G17">
        <v>0.5</v>
      </c>
      <c r="H17" t="s">
        <v>227</v>
      </c>
      <c r="I17" s="1">
        <v>44265</v>
      </c>
      <c r="J17" s="1">
        <v>44276</v>
      </c>
      <c r="K17">
        <v>100</v>
      </c>
      <c r="L17">
        <v>11</v>
      </c>
      <c r="M17">
        <v>3</v>
      </c>
      <c r="N17">
        <v>45</v>
      </c>
      <c r="O17">
        <v>0</v>
      </c>
      <c r="P17">
        <v>0</v>
      </c>
      <c r="Q17">
        <v>0</v>
      </c>
      <c r="R17">
        <f>Table1_15[[#This Row],[peak_width_days]]-Table1_15[[#This Row],[time_to_peak_days]]</f>
        <v>8</v>
      </c>
    </row>
    <row r="18" spans="1:18" x14ac:dyDescent="0.3">
      <c r="A18" t="s">
        <v>96</v>
      </c>
      <c r="B18" t="s">
        <v>0</v>
      </c>
      <c r="C18" t="s">
        <v>230</v>
      </c>
      <c r="D18" t="s">
        <v>228</v>
      </c>
      <c r="E18">
        <v>3</v>
      </c>
      <c r="F18" s="1">
        <v>45901</v>
      </c>
      <c r="G18">
        <v>1</v>
      </c>
      <c r="H18" t="s">
        <v>227</v>
      </c>
      <c r="I18" s="1">
        <v>45915</v>
      </c>
      <c r="J18" s="1">
        <v>45947</v>
      </c>
      <c r="K18">
        <v>100</v>
      </c>
      <c r="L18">
        <v>32</v>
      </c>
      <c r="M18">
        <v>12</v>
      </c>
      <c r="N18">
        <v>90</v>
      </c>
      <c r="O18">
        <v>0</v>
      </c>
      <c r="P18">
        <v>0</v>
      </c>
      <c r="Q18">
        <v>0</v>
      </c>
      <c r="R18">
        <f>Table1_15[[#This Row],[peak_width_days]]-Table1_15[[#This Row],[time_to_peak_days]]</f>
        <v>20</v>
      </c>
    </row>
    <row r="19" spans="1:18" x14ac:dyDescent="0.3">
      <c r="A19" t="s">
        <v>95</v>
      </c>
      <c r="B19" t="s">
        <v>0</v>
      </c>
      <c r="C19" t="s">
        <v>229</v>
      </c>
      <c r="D19" t="s">
        <v>228</v>
      </c>
      <c r="E19">
        <v>1</v>
      </c>
      <c r="F19" s="1">
        <v>43405</v>
      </c>
      <c r="G19">
        <v>1</v>
      </c>
      <c r="H19" t="s">
        <v>227</v>
      </c>
      <c r="I19" s="1">
        <v>43415</v>
      </c>
      <c r="J19" s="1">
        <v>43421</v>
      </c>
      <c r="K19">
        <v>100</v>
      </c>
      <c r="L19">
        <v>6</v>
      </c>
      <c r="M19">
        <v>1</v>
      </c>
      <c r="N19">
        <v>45</v>
      </c>
      <c r="O19">
        <v>0</v>
      </c>
      <c r="P19">
        <v>0</v>
      </c>
      <c r="Q19">
        <v>0</v>
      </c>
      <c r="R19">
        <f>Table1_15[[#This Row],[peak_width_days]]-Table1_15[[#This Row],[time_to_peak_days]]</f>
        <v>5</v>
      </c>
    </row>
    <row r="20" spans="1:18" x14ac:dyDescent="0.3">
      <c r="A20" t="s">
        <v>95</v>
      </c>
      <c r="B20" t="s">
        <v>0</v>
      </c>
      <c r="C20" t="s">
        <v>231</v>
      </c>
      <c r="D20" t="s">
        <v>228</v>
      </c>
      <c r="E20">
        <v>2</v>
      </c>
      <c r="F20" s="1">
        <v>43831</v>
      </c>
      <c r="G20">
        <v>0.5</v>
      </c>
      <c r="H20" t="s">
        <v>227</v>
      </c>
      <c r="I20" s="1">
        <v>43833</v>
      </c>
      <c r="J20" s="1">
        <v>43842</v>
      </c>
      <c r="K20">
        <v>100</v>
      </c>
      <c r="L20">
        <v>9</v>
      </c>
      <c r="M20">
        <v>3</v>
      </c>
      <c r="N20">
        <v>45</v>
      </c>
      <c r="O20">
        <v>0</v>
      </c>
      <c r="P20">
        <v>0</v>
      </c>
      <c r="Q20">
        <v>0</v>
      </c>
      <c r="R20">
        <f>Table1_15[[#This Row],[peak_width_days]]-Table1_15[[#This Row],[time_to_peak_days]]</f>
        <v>6</v>
      </c>
    </row>
    <row r="21" spans="1:18" x14ac:dyDescent="0.3">
      <c r="A21" t="s">
        <v>93</v>
      </c>
      <c r="B21" t="s">
        <v>0</v>
      </c>
      <c r="C21" t="s">
        <v>229</v>
      </c>
      <c r="D21" t="s">
        <v>228</v>
      </c>
      <c r="E21">
        <v>1</v>
      </c>
      <c r="F21" s="1">
        <v>43282</v>
      </c>
      <c r="G21">
        <v>1</v>
      </c>
      <c r="H21" t="s">
        <v>227</v>
      </c>
      <c r="I21" s="1">
        <v>43303</v>
      </c>
      <c r="J21" s="1">
        <v>43324</v>
      </c>
      <c r="K21">
        <v>100</v>
      </c>
      <c r="L21">
        <v>21</v>
      </c>
      <c r="M21">
        <v>2</v>
      </c>
      <c r="N21">
        <v>45</v>
      </c>
      <c r="O21">
        <v>0</v>
      </c>
      <c r="P21">
        <v>0</v>
      </c>
      <c r="Q21">
        <v>0</v>
      </c>
      <c r="R21">
        <f>Table1_15[[#This Row],[peak_width_days]]-Table1_15[[#This Row],[time_to_peak_days]]</f>
        <v>19</v>
      </c>
    </row>
    <row r="22" spans="1:18" x14ac:dyDescent="0.3">
      <c r="A22" t="s">
        <v>92</v>
      </c>
      <c r="B22" t="s">
        <v>0</v>
      </c>
      <c r="C22" t="s">
        <v>229</v>
      </c>
      <c r="D22" t="s">
        <v>228</v>
      </c>
      <c r="E22">
        <v>1</v>
      </c>
      <c r="F22" s="1">
        <v>42248</v>
      </c>
      <c r="G22">
        <v>1</v>
      </c>
      <c r="H22" t="s">
        <v>227</v>
      </c>
      <c r="I22" s="1">
        <v>42127</v>
      </c>
      <c r="J22" s="1">
        <v>42421</v>
      </c>
      <c r="K22">
        <v>100</v>
      </c>
      <c r="L22">
        <v>294</v>
      </c>
      <c r="M22">
        <v>126</v>
      </c>
      <c r="N22">
        <v>180</v>
      </c>
      <c r="O22">
        <v>0</v>
      </c>
      <c r="P22">
        <v>1</v>
      </c>
      <c r="Q22">
        <v>0</v>
      </c>
      <c r="R22">
        <f>Table1_15[[#This Row],[peak_width_days]]-Table1_15[[#This Row],[time_to_peak_days]]</f>
        <v>168</v>
      </c>
    </row>
    <row r="23" spans="1:18" x14ac:dyDescent="0.3">
      <c r="A23" t="s">
        <v>90</v>
      </c>
      <c r="B23" t="s">
        <v>0</v>
      </c>
      <c r="C23" t="s">
        <v>229</v>
      </c>
      <c r="D23" t="s">
        <v>228</v>
      </c>
      <c r="E23">
        <v>1</v>
      </c>
      <c r="F23" s="1">
        <v>42186</v>
      </c>
      <c r="G23">
        <v>1</v>
      </c>
      <c r="H23" t="s">
        <v>227</v>
      </c>
      <c r="I23" s="1">
        <v>42151</v>
      </c>
      <c r="J23" s="1">
        <v>42157</v>
      </c>
      <c r="K23">
        <v>100</v>
      </c>
      <c r="L23">
        <v>6</v>
      </c>
      <c r="M23">
        <v>1</v>
      </c>
      <c r="N23">
        <v>45</v>
      </c>
      <c r="O23">
        <v>0</v>
      </c>
      <c r="P23">
        <v>0</v>
      </c>
      <c r="Q23">
        <v>0</v>
      </c>
      <c r="R23">
        <f>Table1_15[[#This Row],[peak_width_days]]-Table1_15[[#This Row],[time_to_peak_days]]</f>
        <v>5</v>
      </c>
    </row>
    <row r="24" spans="1:18" x14ac:dyDescent="0.3">
      <c r="A24" t="s">
        <v>89</v>
      </c>
      <c r="B24" t="s">
        <v>0</v>
      </c>
      <c r="C24" t="s">
        <v>229</v>
      </c>
      <c r="D24" t="s">
        <v>228</v>
      </c>
      <c r="E24">
        <v>1</v>
      </c>
      <c r="F24" s="1">
        <v>42186</v>
      </c>
      <c r="G24">
        <v>1</v>
      </c>
      <c r="H24" t="s">
        <v>227</v>
      </c>
      <c r="I24" s="1">
        <v>42152</v>
      </c>
      <c r="J24" s="1">
        <v>42154</v>
      </c>
      <c r="K24">
        <v>100</v>
      </c>
      <c r="L24">
        <v>2</v>
      </c>
      <c r="M24">
        <v>1</v>
      </c>
      <c r="N24">
        <v>45</v>
      </c>
      <c r="O24">
        <v>0</v>
      </c>
      <c r="P24">
        <v>0</v>
      </c>
      <c r="Q24">
        <v>0</v>
      </c>
      <c r="R24">
        <f>Table1_15[[#This Row],[peak_width_days]]-Table1_15[[#This Row],[time_to_peak_days]]</f>
        <v>1</v>
      </c>
    </row>
    <row r="25" spans="1:18" x14ac:dyDescent="0.3">
      <c r="A25" t="s">
        <v>87</v>
      </c>
      <c r="B25" t="s">
        <v>0</v>
      </c>
      <c r="C25" t="s">
        <v>231</v>
      </c>
      <c r="D25" t="s">
        <v>228</v>
      </c>
      <c r="E25">
        <v>1</v>
      </c>
      <c r="F25" s="1">
        <v>44197</v>
      </c>
      <c r="G25">
        <v>1</v>
      </c>
      <c r="H25" t="s">
        <v>227</v>
      </c>
      <c r="I25" s="1">
        <v>44202</v>
      </c>
      <c r="J25" s="1">
        <v>44205</v>
      </c>
      <c r="K25">
        <v>100</v>
      </c>
      <c r="L25">
        <v>3</v>
      </c>
      <c r="M25">
        <v>1</v>
      </c>
      <c r="N25">
        <v>45</v>
      </c>
      <c r="O25">
        <v>0</v>
      </c>
      <c r="P25">
        <v>0</v>
      </c>
      <c r="Q25">
        <v>0</v>
      </c>
      <c r="R25">
        <f>Table1_15[[#This Row],[peak_width_days]]-Table1_15[[#This Row],[time_to_peak_days]]</f>
        <v>2</v>
      </c>
    </row>
    <row r="26" spans="1:18" x14ac:dyDescent="0.3">
      <c r="A26" t="s">
        <v>85</v>
      </c>
      <c r="B26" t="s">
        <v>0</v>
      </c>
      <c r="C26" t="s">
        <v>229</v>
      </c>
      <c r="D26" t="s">
        <v>228</v>
      </c>
      <c r="E26">
        <v>1</v>
      </c>
      <c r="F26" s="1">
        <v>42917</v>
      </c>
      <c r="G26">
        <v>1</v>
      </c>
      <c r="H26" t="s">
        <v>227</v>
      </c>
      <c r="I26" s="1">
        <v>42937</v>
      </c>
      <c r="J26" s="1">
        <v>42943</v>
      </c>
      <c r="K26">
        <v>100</v>
      </c>
      <c r="L26">
        <v>6</v>
      </c>
      <c r="M26">
        <v>4</v>
      </c>
      <c r="N26">
        <v>45</v>
      </c>
      <c r="O26">
        <v>0</v>
      </c>
      <c r="P26">
        <v>0</v>
      </c>
      <c r="Q26">
        <v>0</v>
      </c>
      <c r="R26">
        <f>Table1_15[[#This Row],[peak_width_days]]-Table1_15[[#This Row],[time_to_peak_days]]</f>
        <v>2</v>
      </c>
    </row>
    <row r="27" spans="1:18" x14ac:dyDescent="0.3">
      <c r="A27" t="s">
        <v>84</v>
      </c>
      <c r="B27" t="s">
        <v>0</v>
      </c>
      <c r="C27" t="s">
        <v>229</v>
      </c>
      <c r="D27" t="s">
        <v>228</v>
      </c>
      <c r="E27">
        <v>1</v>
      </c>
      <c r="F27" s="1">
        <v>42125</v>
      </c>
      <c r="G27">
        <v>1</v>
      </c>
      <c r="H27" t="s">
        <v>227</v>
      </c>
      <c r="I27" s="1">
        <v>42134</v>
      </c>
      <c r="J27" s="1">
        <v>42138</v>
      </c>
      <c r="K27">
        <v>100</v>
      </c>
      <c r="L27">
        <v>4</v>
      </c>
      <c r="M27">
        <v>2</v>
      </c>
      <c r="N27">
        <v>45</v>
      </c>
      <c r="O27">
        <v>0</v>
      </c>
      <c r="P27">
        <v>0</v>
      </c>
      <c r="Q27">
        <v>0</v>
      </c>
      <c r="R27">
        <f>Table1_15[[#This Row],[peak_width_days]]-Table1_15[[#This Row],[time_to_peak_days]]</f>
        <v>2</v>
      </c>
    </row>
    <row r="28" spans="1:18" x14ac:dyDescent="0.3">
      <c r="A28" t="s">
        <v>83</v>
      </c>
      <c r="B28" t="s">
        <v>0</v>
      </c>
      <c r="C28" t="s">
        <v>229</v>
      </c>
      <c r="D28" t="s">
        <v>228</v>
      </c>
      <c r="E28">
        <v>1</v>
      </c>
      <c r="F28" s="1">
        <v>42036</v>
      </c>
      <c r="G28">
        <v>1</v>
      </c>
      <c r="H28" t="s">
        <v>227</v>
      </c>
      <c r="I28" s="1">
        <v>42023</v>
      </c>
      <c r="J28" s="1">
        <v>42064</v>
      </c>
      <c r="K28">
        <v>100</v>
      </c>
      <c r="L28">
        <v>41</v>
      </c>
      <c r="M28">
        <v>23</v>
      </c>
      <c r="N28">
        <v>45</v>
      </c>
      <c r="O28">
        <v>0</v>
      </c>
      <c r="P28">
        <v>0</v>
      </c>
      <c r="Q28">
        <v>0</v>
      </c>
      <c r="R28">
        <f>Table1_15[[#This Row],[peak_width_days]]-Table1_15[[#This Row],[time_to_peak_days]]</f>
        <v>18</v>
      </c>
    </row>
    <row r="29" spans="1:18" x14ac:dyDescent="0.3">
      <c r="A29" t="s">
        <v>82</v>
      </c>
      <c r="B29" t="s">
        <v>0</v>
      </c>
      <c r="C29" t="s">
        <v>229</v>
      </c>
      <c r="D29" t="s">
        <v>228</v>
      </c>
      <c r="E29">
        <v>1</v>
      </c>
      <c r="F29" s="1">
        <v>42005</v>
      </c>
      <c r="G29">
        <v>1</v>
      </c>
      <c r="H29" t="s">
        <v>227</v>
      </c>
      <c r="I29" s="1">
        <v>42025</v>
      </c>
      <c r="J29" s="1">
        <v>42028</v>
      </c>
      <c r="K29">
        <v>100</v>
      </c>
      <c r="L29">
        <v>3</v>
      </c>
      <c r="M29">
        <v>2</v>
      </c>
      <c r="N29">
        <v>45</v>
      </c>
      <c r="O29">
        <v>0</v>
      </c>
      <c r="P29">
        <v>0</v>
      </c>
      <c r="Q29">
        <v>0</v>
      </c>
      <c r="R29">
        <f>Table1_15[[#This Row],[peak_width_days]]-Table1_15[[#This Row],[time_to_peak_days]]</f>
        <v>1</v>
      </c>
    </row>
    <row r="30" spans="1:18" x14ac:dyDescent="0.3">
      <c r="A30" t="s">
        <v>81</v>
      </c>
      <c r="B30" t="s">
        <v>0</v>
      </c>
      <c r="C30" t="s">
        <v>229</v>
      </c>
      <c r="D30" t="s">
        <v>228</v>
      </c>
      <c r="E30">
        <v>1</v>
      </c>
      <c r="F30" s="1">
        <v>42005</v>
      </c>
      <c r="G30">
        <v>0.66669999999999996</v>
      </c>
      <c r="H30" t="s">
        <v>227</v>
      </c>
      <c r="I30" s="1">
        <v>42043</v>
      </c>
      <c r="J30" s="1">
        <v>42045</v>
      </c>
      <c r="K30">
        <v>100</v>
      </c>
      <c r="L30">
        <v>2</v>
      </c>
      <c r="M30">
        <v>1</v>
      </c>
      <c r="N30">
        <v>45</v>
      </c>
      <c r="O30">
        <v>0</v>
      </c>
      <c r="P30">
        <v>0</v>
      </c>
      <c r="Q30">
        <v>0</v>
      </c>
      <c r="R30">
        <f>Table1_15[[#This Row],[peak_width_days]]-Table1_15[[#This Row],[time_to_peak_days]]</f>
        <v>1</v>
      </c>
    </row>
    <row r="31" spans="1:18" x14ac:dyDescent="0.3">
      <c r="A31" t="s">
        <v>81</v>
      </c>
      <c r="B31" t="s">
        <v>0</v>
      </c>
      <c r="C31" t="s">
        <v>231</v>
      </c>
      <c r="D31" t="s">
        <v>228</v>
      </c>
      <c r="E31">
        <v>2</v>
      </c>
      <c r="F31" s="1">
        <v>44866</v>
      </c>
      <c r="G31">
        <v>1</v>
      </c>
      <c r="H31" t="s">
        <v>227</v>
      </c>
      <c r="I31" s="1">
        <v>44882</v>
      </c>
      <c r="J31" s="1">
        <v>44888</v>
      </c>
      <c r="K31">
        <v>100</v>
      </c>
      <c r="L31">
        <v>6</v>
      </c>
      <c r="M31">
        <v>4</v>
      </c>
      <c r="N31">
        <v>45</v>
      </c>
      <c r="O31">
        <v>0</v>
      </c>
      <c r="P31">
        <v>0</v>
      </c>
      <c r="Q31">
        <v>0</v>
      </c>
      <c r="R31">
        <f>Table1_15[[#This Row],[peak_width_days]]-Table1_15[[#This Row],[time_to_peak_days]]</f>
        <v>2</v>
      </c>
    </row>
    <row r="32" spans="1:18" x14ac:dyDescent="0.3">
      <c r="A32" t="s">
        <v>81</v>
      </c>
      <c r="B32" t="s">
        <v>0</v>
      </c>
      <c r="C32" t="s">
        <v>230</v>
      </c>
      <c r="D32" t="s">
        <v>228</v>
      </c>
      <c r="E32">
        <v>3</v>
      </c>
      <c r="F32" s="1">
        <v>46143</v>
      </c>
      <c r="G32">
        <v>0.66669999999999996</v>
      </c>
      <c r="H32" t="s">
        <v>227</v>
      </c>
      <c r="I32" s="1">
        <v>46179</v>
      </c>
      <c r="J32" s="1">
        <v>46181</v>
      </c>
      <c r="K32">
        <v>100</v>
      </c>
      <c r="L32">
        <v>2</v>
      </c>
      <c r="M32">
        <v>1</v>
      </c>
      <c r="N32">
        <v>45</v>
      </c>
      <c r="O32">
        <v>0</v>
      </c>
      <c r="P32">
        <v>0</v>
      </c>
      <c r="Q32">
        <v>0</v>
      </c>
      <c r="R32">
        <f>Table1_15[[#This Row],[peak_width_days]]-Table1_15[[#This Row],[time_to_peak_days]]</f>
        <v>1</v>
      </c>
    </row>
    <row r="33" spans="1:18" x14ac:dyDescent="0.3">
      <c r="A33" t="s">
        <v>80</v>
      </c>
      <c r="B33" t="s">
        <v>0</v>
      </c>
      <c r="C33" t="s">
        <v>229</v>
      </c>
      <c r="D33" t="s">
        <v>228</v>
      </c>
      <c r="E33">
        <v>1</v>
      </c>
      <c r="F33" s="1">
        <v>42036</v>
      </c>
      <c r="G33">
        <v>1</v>
      </c>
      <c r="H33" t="s">
        <v>227</v>
      </c>
      <c r="I33" s="1">
        <v>42035</v>
      </c>
      <c r="J33" s="1">
        <v>42039</v>
      </c>
      <c r="K33">
        <v>100</v>
      </c>
      <c r="L33">
        <v>4</v>
      </c>
      <c r="M33">
        <v>2</v>
      </c>
      <c r="N33">
        <v>45</v>
      </c>
      <c r="O33">
        <v>0</v>
      </c>
      <c r="P33">
        <v>0</v>
      </c>
      <c r="Q33">
        <v>0</v>
      </c>
      <c r="R33">
        <f>Table1_15[[#This Row],[peak_width_days]]-Table1_15[[#This Row],[time_to_peak_days]]</f>
        <v>2</v>
      </c>
    </row>
    <row r="34" spans="1:18" x14ac:dyDescent="0.3">
      <c r="A34" t="s">
        <v>79</v>
      </c>
      <c r="B34" t="s">
        <v>0</v>
      </c>
      <c r="C34" t="s">
        <v>230</v>
      </c>
      <c r="D34" t="s">
        <v>228</v>
      </c>
      <c r="E34">
        <v>1</v>
      </c>
      <c r="F34" s="1">
        <v>45078</v>
      </c>
      <c r="G34">
        <v>1</v>
      </c>
      <c r="H34" t="s">
        <v>227</v>
      </c>
      <c r="I34" s="1">
        <v>45080</v>
      </c>
      <c r="J34" s="1">
        <v>45082</v>
      </c>
      <c r="K34">
        <v>100</v>
      </c>
      <c r="L34">
        <v>2</v>
      </c>
      <c r="M34">
        <v>1</v>
      </c>
      <c r="N34">
        <v>45</v>
      </c>
      <c r="O34">
        <v>0</v>
      </c>
      <c r="P34">
        <v>0</v>
      </c>
      <c r="Q34">
        <v>0</v>
      </c>
      <c r="R34">
        <f>Table1_15[[#This Row],[peak_width_days]]-Table1_15[[#This Row],[time_to_peak_days]]</f>
        <v>1</v>
      </c>
    </row>
    <row r="35" spans="1:18" x14ac:dyDescent="0.3">
      <c r="A35" t="s">
        <v>78</v>
      </c>
      <c r="B35" t="s">
        <v>0</v>
      </c>
      <c r="C35" t="s">
        <v>229</v>
      </c>
      <c r="D35" t="s">
        <v>228</v>
      </c>
      <c r="E35">
        <v>1</v>
      </c>
      <c r="F35" s="1">
        <v>43709</v>
      </c>
      <c r="G35">
        <v>1</v>
      </c>
      <c r="H35" t="s">
        <v>227</v>
      </c>
      <c r="I35" s="1">
        <v>43705</v>
      </c>
      <c r="J35" s="1">
        <v>43772</v>
      </c>
      <c r="K35">
        <v>100</v>
      </c>
      <c r="L35">
        <v>67</v>
      </c>
      <c r="M35">
        <v>3</v>
      </c>
      <c r="N35">
        <v>90</v>
      </c>
      <c r="O35">
        <v>0</v>
      </c>
      <c r="P35">
        <v>0</v>
      </c>
      <c r="Q35">
        <v>0</v>
      </c>
      <c r="R35">
        <f>Table1_15[[#This Row],[peak_width_days]]-Table1_15[[#This Row],[time_to_peak_days]]</f>
        <v>64</v>
      </c>
    </row>
    <row r="36" spans="1:18" x14ac:dyDescent="0.3">
      <c r="A36" t="s">
        <v>77</v>
      </c>
      <c r="B36" t="s">
        <v>0</v>
      </c>
      <c r="C36" t="s">
        <v>229</v>
      </c>
      <c r="D36" t="s">
        <v>228</v>
      </c>
      <c r="E36">
        <v>1</v>
      </c>
      <c r="F36" s="1">
        <v>43405</v>
      </c>
      <c r="G36">
        <v>1</v>
      </c>
      <c r="H36" t="s">
        <v>227</v>
      </c>
      <c r="I36" s="1">
        <v>43374</v>
      </c>
      <c r="J36" s="1">
        <v>43376</v>
      </c>
      <c r="K36">
        <v>100</v>
      </c>
      <c r="L36">
        <v>2</v>
      </c>
      <c r="M36">
        <v>1</v>
      </c>
      <c r="N36">
        <v>45</v>
      </c>
      <c r="O36">
        <v>0</v>
      </c>
      <c r="P36">
        <v>0</v>
      </c>
      <c r="Q36">
        <v>0</v>
      </c>
      <c r="R36">
        <f>Table1_15[[#This Row],[peak_width_days]]-Table1_15[[#This Row],[time_to_peak_days]]</f>
        <v>1</v>
      </c>
    </row>
    <row r="37" spans="1:18" x14ac:dyDescent="0.3">
      <c r="A37" t="s">
        <v>77</v>
      </c>
      <c r="B37" t="s">
        <v>0</v>
      </c>
      <c r="C37" t="s">
        <v>231</v>
      </c>
      <c r="D37" t="s">
        <v>228</v>
      </c>
      <c r="E37">
        <v>2</v>
      </c>
      <c r="F37" s="1">
        <v>43831</v>
      </c>
      <c r="G37">
        <v>1</v>
      </c>
      <c r="H37" t="s">
        <v>227</v>
      </c>
      <c r="I37" s="1">
        <v>43854</v>
      </c>
      <c r="J37" s="1">
        <v>43856</v>
      </c>
      <c r="K37">
        <v>100</v>
      </c>
      <c r="L37">
        <v>2</v>
      </c>
      <c r="M37">
        <v>1</v>
      </c>
      <c r="N37">
        <v>45</v>
      </c>
      <c r="O37">
        <v>0</v>
      </c>
      <c r="P37">
        <v>0</v>
      </c>
      <c r="Q37">
        <v>0</v>
      </c>
      <c r="R37">
        <f>Table1_15[[#This Row],[peak_width_days]]-Table1_15[[#This Row],[time_to_peak_days]]</f>
        <v>1</v>
      </c>
    </row>
    <row r="38" spans="1:18" x14ac:dyDescent="0.3">
      <c r="A38" t="s">
        <v>76</v>
      </c>
      <c r="B38" t="s">
        <v>0</v>
      </c>
      <c r="C38" t="s">
        <v>229</v>
      </c>
      <c r="D38" t="s">
        <v>228</v>
      </c>
      <c r="E38">
        <v>1</v>
      </c>
      <c r="F38" s="1">
        <v>42005</v>
      </c>
      <c r="G38">
        <v>1</v>
      </c>
      <c r="H38" t="s">
        <v>227</v>
      </c>
      <c r="I38" s="1">
        <v>42042</v>
      </c>
      <c r="J38" s="1">
        <v>42044</v>
      </c>
      <c r="K38">
        <v>100</v>
      </c>
      <c r="L38">
        <v>2</v>
      </c>
      <c r="M38">
        <v>1</v>
      </c>
      <c r="N38">
        <v>45</v>
      </c>
      <c r="O38">
        <v>0</v>
      </c>
      <c r="P38">
        <v>0</v>
      </c>
      <c r="Q38">
        <v>0</v>
      </c>
      <c r="R38">
        <f>Table1_15[[#This Row],[peak_width_days]]-Table1_15[[#This Row],[time_to_peak_days]]</f>
        <v>1</v>
      </c>
    </row>
    <row r="39" spans="1:18" x14ac:dyDescent="0.3">
      <c r="A39" t="s">
        <v>76</v>
      </c>
      <c r="B39" t="s">
        <v>0</v>
      </c>
      <c r="C39" t="s">
        <v>230</v>
      </c>
      <c r="D39" t="s">
        <v>228</v>
      </c>
      <c r="E39">
        <v>3</v>
      </c>
      <c r="F39" s="1">
        <v>45078</v>
      </c>
      <c r="G39">
        <v>1</v>
      </c>
      <c r="H39" t="s">
        <v>227</v>
      </c>
      <c r="I39" s="1">
        <v>45087</v>
      </c>
      <c r="J39" s="1">
        <v>45091</v>
      </c>
      <c r="K39">
        <v>100</v>
      </c>
      <c r="L39">
        <v>4</v>
      </c>
      <c r="M39">
        <v>1</v>
      </c>
      <c r="N39">
        <v>45</v>
      </c>
      <c r="O39">
        <v>0</v>
      </c>
      <c r="P39">
        <v>0</v>
      </c>
      <c r="Q39">
        <v>0</v>
      </c>
      <c r="R39">
        <f>Table1_15[[#This Row],[peak_width_days]]-Table1_15[[#This Row],[time_to_peak_days]]</f>
        <v>3</v>
      </c>
    </row>
    <row r="40" spans="1:18" x14ac:dyDescent="0.3">
      <c r="A40" t="s">
        <v>75</v>
      </c>
      <c r="B40" t="s">
        <v>0</v>
      </c>
      <c r="C40" t="s">
        <v>229</v>
      </c>
      <c r="D40" t="s">
        <v>228</v>
      </c>
      <c r="E40">
        <v>1</v>
      </c>
      <c r="F40" s="1">
        <v>43374</v>
      </c>
      <c r="G40">
        <v>1</v>
      </c>
      <c r="H40" t="s">
        <v>227</v>
      </c>
      <c r="I40" s="1">
        <v>43373</v>
      </c>
      <c r="J40" s="1">
        <v>43381</v>
      </c>
      <c r="K40">
        <v>100</v>
      </c>
      <c r="L40">
        <v>8</v>
      </c>
      <c r="M40">
        <v>3</v>
      </c>
      <c r="N40">
        <v>45</v>
      </c>
      <c r="O40">
        <v>0</v>
      </c>
      <c r="P40">
        <v>0</v>
      </c>
      <c r="Q40">
        <v>0</v>
      </c>
      <c r="R40">
        <f>Table1_15[[#This Row],[peak_width_days]]-Table1_15[[#This Row],[time_to_peak_days]]</f>
        <v>5</v>
      </c>
    </row>
    <row r="41" spans="1:18" x14ac:dyDescent="0.3">
      <c r="A41" t="s">
        <v>75</v>
      </c>
      <c r="B41" t="s">
        <v>0</v>
      </c>
      <c r="C41" t="s">
        <v>230</v>
      </c>
      <c r="D41" t="s">
        <v>228</v>
      </c>
      <c r="E41">
        <v>2</v>
      </c>
      <c r="F41" s="1">
        <v>45931</v>
      </c>
      <c r="G41">
        <v>1</v>
      </c>
      <c r="H41" t="s">
        <v>227</v>
      </c>
      <c r="I41" s="1">
        <v>45902</v>
      </c>
      <c r="J41" s="1">
        <v>45907</v>
      </c>
      <c r="K41">
        <v>100</v>
      </c>
      <c r="L41">
        <v>5</v>
      </c>
      <c r="M41">
        <v>3</v>
      </c>
      <c r="N41">
        <v>45</v>
      </c>
      <c r="O41">
        <v>0</v>
      </c>
      <c r="P41">
        <v>0</v>
      </c>
      <c r="Q41">
        <v>0</v>
      </c>
      <c r="R41">
        <f>Table1_15[[#This Row],[peak_width_days]]-Table1_15[[#This Row],[time_to_peak_days]]</f>
        <v>2</v>
      </c>
    </row>
    <row r="42" spans="1:18" x14ac:dyDescent="0.3">
      <c r="A42" t="s">
        <v>74</v>
      </c>
      <c r="B42" t="s">
        <v>0</v>
      </c>
      <c r="C42" t="s">
        <v>229</v>
      </c>
      <c r="D42" t="s">
        <v>228</v>
      </c>
      <c r="E42">
        <v>1</v>
      </c>
      <c r="F42" s="1">
        <v>42522</v>
      </c>
      <c r="G42">
        <v>1</v>
      </c>
      <c r="H42" t="s">
        <v>227</v>
      </c>
      <c r="I42" s="1">
        <v>42540</v>
      </c>
      <c r="J42" s="1">
        <v>42545</v>
      </c>
      <c r="K42">
        <v>100</v>
      </c>
      <c r="L42">
        <v>5</v>
      </c>
      <c r="M42">
        <v>2</v>
      </c>
      <c r="N42">
        <v>45</v>
      </c>
      <c r="O42">
        <v>0</v>
      </c>
      <c r="P42">
        <v>0</v>
      </c>
      <c r="Q42">
        <v>0</v>
      </c>
      <c r="R42">
        <f>Table1_15[[#This Row],[peak_width_days]]-Table1_15[[#This Row],[time_to_peak_days]]</f>
        <v>3</v>
      </c>
    </row>
    <row r="43" spans="1:18" x14ac:dyDescent="0.3">
      <c r="A43" t="s">
        <v>73</v>
      </c>
      <c r="B43" t="s">
        <v>0</v>
      </c>
      <c r="C43" t="s">
        <v>229</v>
      </c>
      <c r="D43" t="s">
        <v>228</v>
      </c>
      <c r="E43">
        <v>1</v>
      </c>
      <c r="F43" s="1">
        <v>43252</v>
      </c>
      <c r="G43">
        <v>1</v>
      </c>
      <c r="H43" t="s">
        <v>227</v>
      </c>
      <c r="I43" s="1">
        <v>43249</v>
      </c>
      <c r="J43" s="1">
        <v>43312</v>
      </c>
      <c r="K43">
        <v>100</v>
      </c>
      <c r="L43">
        <v>63</v>
      </c>
      <c r="M43">
        <v>5</v>
      </c>
      <c r="N43">
        <v>90</v>
      </c>
      <c r="O43">
        <v>0</v>
      </c>
      <c r="P43">
        <v>0</v>
      </c>
      <c r="Q43">
        <v>0</v>
      </c>
      <c r="R43">
        <f>Table1_15[[#This Row],[peak_width_days]]-Table1_15[[#This Row],[time_to_peak_days]]</f>
        <v>58</v>
      </c>
    </row>
    <row r="44" spans="1:18" x14ac:dyDescent="0.3">
      <c r="A44" t="s">
        <v>72</v>
      </c>
      <c r="B44" t="s">
        <v>0</v>
      </c>
      <c r="C44" t="s">
        <v>229</v>
      </c>
      <c r="D44" t="s">
        <v>228</v>
      </c>
      <c r="E44">
        <v>1</v>
      </c>
      <c r="F44" s="1">
        <v>43770</v>
      </c>
      <c r="G44">
        <v>1</v>
      </c>
      <c r="H44" t="s">
        <v>227</v>
      </c>
      <c r="I44" s="1">
        <v>43765</v>
      </c>
      <c r="J44" s="1">
        <v>43814</v>
      </c>
      <c r="K44">
        <v>100</v>
      </c>
      <c r="L44">
        <v>49</v>
      </c>
      <c r="M44">
        <v>13</v>
      </c>
      <c r="N44">
        <v>45</v>
      </c>
      <c r="O44">
        <v>0</v>
      </c>
      <c r="P44">
        <v>0</v>
      </c>
      <c r="Q44">
        <v>0</v>
      </c>
      <c r="R44">
        <f>Table1_15[[#This Row],[peak_width_days]]-Table1_15[[#This Row],[time_to_peak_days]]</f>
        <v>36</v>
      </c>
    </row>
    <row r="45" spans="1:18" x14ac:dyDescent="0.3">
      <c r="A45" t="s">
        <v>71</v>
      </c>
      <c r="B45" t="s">
        <v>0</v>
      </c>
      <c r="C45" t="s">
        <v>231</v>
      </c>
      <c r="D45" t="s">
        <v>228</v>
      </c>
      <c r="E45">
        <v>2</v>
      </c>
      <c r="F45" s="1">
        <v>43983</v>
      </c>
      <c r="G45">
        <v>0.5</v>
      </c>
      <c r="H45" t="s">
        <v>227</v>
      </c>
      <c r="I45" s="1">
        <v>43982</v>
      </c>
      <c r="J45" s="1">
        <v>43989</v>
      </c>
      <c r="K45">
        <v>100</v>
      </c>
      <c r="L45">
        <v>7</v>
      </c>
      <c r="M45">
        <v>1</v>
      </c>
      <c r="N45">
        <v>45</v>
      </c>
      <c r="O45">
        <v>0</v>
      </c>
      <c r="P45">
        <v>0</v>
      </c>
      <c r="Q45">
        <v>0</v>
      </c>
      <c r="R45">
        <f>Table1_15[[#This Row],[peak_width_days]]-Table1_15[[#This Row],[time_to_peak_days]]</f>
        <v>6</v>
      </c>
    </row>
    <row r="46" spans="1:18" x14ac:dyDescent="0.3">
      <c r="A46" t="s">
        <v>70</v>
      </c>
      <c r="B46" t="s">
        <v>0</v>
      </c>
      <c r="C46" t="s">
        <v>230</v>
      </c>
      <c r="D46" t="s">
        <v>228</v>
      </c>
      <c r="E46">
        <v>1</v>
      </c>
      <c r="F46" s="1">
        <v>46113</v>
      </c>
      <c r="G46">
        <v>1</v>
      </c>
      <c r="H46" t="s">
        <v>227</v>
      </c>
      <c r="I46" s="1">
        <v>46104</v>
      </c>
      <c r="J46" s="1">
        <v>46180</v>
      </c>
      <c r="K46">
        <v>100</v>
      </c>
      <c r="L46">
        <v>76</v>
      </c>
      <c r="M46">
        <v>5</v>
      </c>
      <c r="N46">
        <v>90</v>
      </c>
      <c r="O46">
        <v>0</v>
      </c>
      <c r="P46">
        <v>0</v>
      </c>
      <c r="Q46">
        <v>0</v>
      </c>
      <c r="R46">
        <f>Table1_15[[#This Row],[peak_width_days]]-Table1_15[[#This Row],[time_to_peak_days]]</f>
        <v>71</v>
      </c>
    </row>
    <row r="47" spans="1:18" x14ac:dyDescent="0.3">
      <c r="A47" t="s">
        <v>69</v>
      </c>
      <c r="B47" t="s">
        <v>0</v>
      </c>
      <c r="C47" t="s">
        <v>229</v>
      </c>
      <c r="D47" t="s">
        <v>228</v>
      </c>
      <c r="E47">
        <v>1</v>
      </c>
      <c r="F47" s="1">
        <v>42248</v>
      </c>
      <c r="G47">
        <v>1</v>
      </c>
      <c r="H47" t="s">
        <v>227</v>
      </c>
      <c r="I47" s="1">
        <v>42290</v>
      </c>
      <c r="J47" s="1">
        <v>42295</v>
      </c>
      <c r="K47">
        <v>100</v>
      </c>
      <c r="L47">
        <v>5</v>
      </c>
      <c r="M47">
        <v>1</v>
      </c>
      <c r="N47">
        <v>90</v>
      </c>
      <c r="O47">
        <v>0</v>
      </c>
      <c r="P47">
        <v>0</v>
      </c>
      <c r="Q47">
        <v>0</v>
      </c>
      <c r="R47">
        <f>Table1_15[[#This Row],[peak_width_days]]-Table1_15[[#This Row],[time_to_peak_days]]</f>
        <v>4</v>
      </c>
    </row>
    <row r="48" spans="1:18" x14ac:dyDescent="0.3">
      <c r="A48" t="s">
        <v>69</v>
      </c>
      <c r="B48" t="s">
        <v>0</v>
      </c>
      <c r="C48" t="s">
        <v>231</v>
      </c>
      <c r="D48" t="s">
        <v>228</v>
      </c>
      <c r="E48">
        <v>2</v>
      </c>
      <c r="F48" s="1">
        <v>43952</v>
      </c>
      <c r="G48">
        <v>0.66669999999999996</v>
      </c>
      <c r="H48" t="s">
        <v>227</v>
      </c>
      <c r="I48" s="1">
        <v>43941</v>
      </c>
      <c r="J48" s="1">
        <v>43967</v>
      </c>
      <c r="K48">
        <v>100</v>
      </c>
      <c r="L48">
        <v>26</v>
      </c>
      <c r="M48">
        <v>11</v>
      </c>
      <c r="N48">
        <v>45</v>
      </c>
      <c r="O48">
        <v>0</v>
      </c>
      <c r="P48">
        <v>0</v>
      </c>
      <c r="Q48">
        <v>0</v>
      </c>
      <c r="R48">
        <f>Table1_15[[#This Row],[peak_width_days]]-Table1_15[[#This Row],[time_to_peak_days]]</f>
        <v>15</v>
      </c>
    </row>
    <row r="49" spans="1:18" x14ac:dyDescent="0.3">
      <c r="A49" t="s">
        <v>69</v>
      </c>
      <c r="B49" t="s">
        <v>0</v>
      </c>
      <c r="C49" t="s">
        <v>230</v>
      </c>
      <c r="D49" t="s">
        <v>228</v>
      </c>
      <c r="E49">
        <v>3</v>
      </c>
      <c r="F49" s="1">
        <v>45017</v>
      </c>
      <c r="G49">
        <v>0.58330000000000004</v>
      </c>
      <c r="H49" t="s">
        <v>227</v>
      </c>
      <c r="I49" s="1">
        <v>45022</v>
      </c>
      <c r="J49" s="1">
        <v>45038</v>
      </c>
      <c r="K49">
        <v>100</v>
      </c>
      <c r="L49">
        <v>16</v>
      </c>
      <c r="M49">
        <v>5</v>
      </c>
      <c r="N49">
        <v>45</v>
      </c>
      <c r="O49">
        <v>0</v>
      </c>
      <c r="P49">
        <v>0</v>
      </c>
      <c r="Q49">
        <v>0</v>
      </c>
      <c r="R49">
        <f>Table1_15[[#This Row],[peak_width_days]]-Table1_15[[#This Row],[time_to_peak_days]]</f>
        <v>11</v>
      </c>
    </row>
    <row r="50" spans="1:18" x14ac:dyDescent="0.3">
      <c r="A50" t="s">
        <v>68</v>
      </c>
      <c r="B50" t="s">
        <v>0</v>
      </c>
      <c r="C50" t="s">
        <v>229</v>
      </c>
      <c r="D50" t="s">
        <v>228</v>
      </c>
      <c r="E50">
        <v>1</v>
      </c>
      <c r="F50" s="1">
        <v>42005</v>
      </c>
      <c r="G50">
        <v>1</v>
      </c>
      <c r="H50" t="s">
        <v>227</v>
      </c>
      <c r="I50" s="1">
        <v>42006</v>
      </c>
      <c r="J50" s="1">
        <v>42008</v>
      </c>
      <c r="K50">
        <v>100</v>
      </c>
      <c r="L50">
        <v>2</v>
      </c>
      <c r="M50">
        <v>1</v>
      </c>
      <c r="N50">
        <v>45</v>
      </c>
      <c r="O50">
        <v>0</v>
      </c>
      <c r="P50">
        <v>0</v>
      </c>
      <c r="Q50">
        <v>0</v>
      </c>
      <c r="R50">
        <f>Table1_15[[#This Row],[peak_width_days]]-Table1_15[[#This Row],[time_to_peak_days]]</f>
        <v>1</v>
      </c>
    </row>
    <row r="51" spans="1:18" x14ac:dyDescent="0.3">
      <c r="A51" t="s">
        <v>68</v>
      </c>
      <c r="B51" t="s">
        <v>0</v>
      </c>
      <c r="C51" t="s">
        <v>231</v>
      </c>
      <c r="D51" t="s">
        <v>228</v>
      </c>
      <c r="E51">
        <v>2</v>
      </c>
      <c r="F51" s="1">
        <v>44317</v>
      </c>
      <c r="G51">
        <v>1</v>
      </c>
      <c r="H51" t="s">
        <v>227</v>
      </c>
      <c r="I51" s="1">
        <v>44325</v>
      </c>
      <c r="J51" s="1">
        <v>44328</v>
      </c>
      <c r="K51">
        <v>100</v>
      </c>
      <c r="L51">
        <v>3</v>
      </c>
      <c r="M51">
        <v>1</v>
      </c>
      <c r="N51">
        <v>45</v>
      </c>
      <c r="O51">
        <v>0</v>
      </c>
      <c r="P51">
        <v>0</v>
      </c>
      <c r="Q51">
        <v>0</v>
      </c>
      <c r="R51">
        <f>Table1_15[[#This Row],[peak_width_days]]-Table1_15[[#This Row],[time_to_peak_days]]</f>
        <v>2</v>
      </c>
    </row>
    <row r="52" spans="1:18" x14ac:dyDescent="0.3">
      <c r="A52" t="s">
        <v>67</v>
      </c>
      <c r="B52" t="s">
        <v>0</v>
      </c>
      <c r="C52" t="s">
        <v>231</v>
      </c>
      <c r="D52" t="s">
        <v>228</v>
      </c>
      <c r="E52">
        <v>1</v>
      </c>
      <c r="F52" s="1">
        <v>44317</v>
      </c>
      <c r="G52">
        <v>1</v>
      </c>
      <c r="H52" t="s">
        <v>227</v>
      </c>
      <c r="I52" s="1">
        <v>44336</v>
      </c>
      <c r="J52" s="1">
        <v>44344</v>
      </c>
      <c r="K52">
        <v>100</v>
      </c>
      <c r="L52">
        <v>8</v>
      </c>
      <c r="M52">
        <v>5</v>
      </c>
      <c r="N52">
        <v>45</v>
      </c>
      <c r="O52">
        <v>0</v>
      </c>
      <c r="P52">
        <v>0</v>
      </c>
      <c r="Q52">
        <v>0</v>
      </c>
      <c r="R52">
        <f>Table1_15[[#This Row],[peak_width_days]]-Table1_15[[#This Row],[time_to_peak_days]]</f>
        <v>3</v>
      </c>
    </row>
    <row r="53" spans="1:18" x14ac:dyDescent="0.3">
      <c r="A53" t="s">
        <v>30</v>
      </c>
      <c r="B53" t="s">
        <v>0</v>
      </c>
      <c r="C53" t="s">
        <v>230</v>
      </c>
      <c r="D53" t="s">
        <v>228</v>
      </c>
      <c r="E53">
        <v>1</v>
      </c>
      <c r="F53" s="1">
        <v>45444</v>
      </c>
      <c r="G53">
        <v>1</v>
      </c>
      <c r="H53" t="s">
        <v>227</v>
      </c>
      <c r="I53" s="1">
        <v>45417</v>
      </c>
      <c r="J53" s="1">
        <v>45774</v>
      </c>
      <c r="K53">
        <v>100</v>
      </c>
      <c r="L53">
        <v>357</v>
      </c>
      <c r="M53">
        <v>49</v>
      </c>
      <c r="N53">
        <v>360</v>
      </c>
      <c r="O53">
        <v>0</v>
      </c>
      <c r="P53">
        <v>1</v>
      </c>
      <c r="Q53">
        <v>0</v>
      </c>
      <c r="R53">
        <f>Table1_15[[#This Row],[peak_width_days]]-Table1_15[[#This Row],[time_to_peak_days]]</f>
        <v>308</v>
      </c>
    </row>
    <row r="54" spans="1:18" x14ac:dyDescent="0.3">
      <c r="A54" t="s">
        <v>58</v>
      </c>
      <c r="B54" t="s">
        <v>0</v>
      </c>
      <c r="C54" t="s">
        <v>230</v>
      </c>
      <c r="D54" t="s">
        <v>228</v>
      </c>
      <c r="E54">
        <v>1</v>
      </c>
      <c r="F54" s="1">
        <v>45078</v>
      </c>
      <c r="G54">
        <v>1</v>
      </c>
      <c r="H54" t="s">
        <v>227</v>
      </c>
      <c r="I54" s="1">
        <v>45083</v>
      </c>
      <c r="J54" s="1">
        <v>45096</v>
      </c>
      <c r="K54">
        <v>100</v>
      </c>
      <c r="L54">
        <v>13</v>
      </c>
      <c r="M54">
        <v>3</v>
      </c>
      <c r="N54">
        <v>45</v>
      </c>
      <c r="O54">
        <v>0</v>
      </c>
      <c r="P54">
        <v>0</v>
      </c>
      <c r="Q54">
        <v>0</v>
      </c>
      <c r="R54">
        <f>Table1_15[[#This Row],[peak_width_days]]-Table1_15[[#This Row],[time_to_peak_days]]</f>
        <v>10</v>
      </c>
    </row>
    <row r="55" spans="1:18" x14ac:dyDescent="0.3">
      <c r="A55" t="s">
        <v>34</v>
      </c>
      <c r="B55" t="s">
        <v>0</v>
      </c>
      <c r="C55" t="s">
        <v>230</v>
      </c>
      <c r="D55" t="s">
        <v>228</v>
      </c>
      <c r="E55">
        <v>1</v>
      </c>
      <c r="F55" s="1">
        <v>45078</v>
      </c>
      <c r="G55">
        <v>1</v>
      </c>
      <c r="H55" t="s">
        <v>227</v>
      </c>
      <c r="I55" s="1">
        <v>45084</v>
      </c>
      <c r="J55" s="1">
        <v>45088</v>
      </c>
      <c r="K55">
        <v>100</v>
      </c>
      <c r="L55">
        <v>4</v>
      </c>
      <c r="M55">
        <v>1</v>
      </c>
      <c r="N55">
        <v>45</v>
      </c>
      <c r="O55">
        <v>0</v>
      </c>
      <c r="P55">
        <v>0</v>
      </c>
      <c r="Q55">
        <v>0</v>
      </c>
      <c r="R55">
        <f>Table1_15[[#This Row],[peak_width_days]]-Table1_15[[#This Row],[time_to_peak_days]]</f>
        <v>3</v>
      </c>
    </row>
    <row r="56" spans="1:18" x14ac:dyDescent="0.3">
      <c r="A56" t="s">
        <v>56</v>
      </c>
      <c r="B56" t="s">
        <v>0</v>
      </c>
      <c r="C56" t="s">
        <v>230</v>
      </c>
      <c r="D56" t="s">
        <v>228</v>
      </c>
      <c r="E56">
        <v>2</v>
      </c>
      <c r="F56" s="1">
        <v>46204</v>
      </c>
      <c r="G56">
        <v>1</v>
      </c>
      <c r="H56" t="s">
        <v>227</v>
      </c>
      <c r="I56" s="1">
        <v>46215</v>
      </c>
      <c r="J56" s="1">
        <v>46217</v>
      </c>
      <c r="K56">
        <v>100</v>
      </c>
      <c r="L56">
        <v>2</v>
      </c>
      <c r="M56">
        <v>1</v>
      </c>
      <c r="N56">
        <v>45</v>
      </c>
      <c r="O56">
        <v>0</v>
      </c>
      <c r="P56">
        <v>0</v>
      </c>
      <c r="Q56">
        <v>0</v>
      </c>
      <c r="R56">
        <f>Table1_15[[#This Row],[peak_width_days]]-Table1_15[[#This Row],[time_to_peak_days]]</f>
        <v>1</v>
      </c>
    </row>
    <row r="57" spans="1:18" x14ac:dyDescent="0.3">
      <c r="A57" t="s">
        <v>55</v>
      </c>
      <c r="B57" t="s">
        <v>0</v>
      </c>
      <c r="C57" t="s">
        <v>231</v>
      </c>
      <c r="D57" t="s">
        <v>228</v>
      </c>
      <c r="E57">
        <v>1</v>
      </c>
      <c r="F57" s="1">
        <v>44317</v>
      </c>
      <c r="G57">
        <v>1</v>
      </c>
      <c r="H57" t="s">
        <v>227</v>
      </c>
      <c r="I57" s="1">
        <v>44319</v>
      </c>
      <c r="J57" s="1">
        <v>44349</v>
      </c>
      <c r="K57">
        <v>100</v>
      </c>
      <c r="L57">
        <v>30</v>
      </c>
      <c r="M57">
        <v>11</v>
      </c>
      <c r="N57">
        <v>45</v>
      </c>
      <c r="O57">
        <v>0</v>
      </c>
      <c r="P57">
        <v>0</v>
      </c>
      <c r="Q57">
        <v>0</v>
      </c>
      <c r="R57">
        <f>Table1_15[[#This Row],[peak_width_days]]-Table1_15[[#This Row],[time_to_peak_days]]</f>
        <v>19</v>
      </c>
    </row>
    <row r="58" spans="1:18" x14ac:dyDescent="0.3">
      <c r="A58" t="s">
        <v>46</v>
      </c>
      <c r="B58" t="s">
        <v>0</v>
      </c>
      <c r="C58" t="s">
        <v>229</v>
      </c>
      <c r="D58" t="s">
        <v>228</v>
      </c>
      <c r="E58">
        <v>1</v>
      </c>
      <c r="F58" s="1">
        <v>42005</v>
      </c>
      <c r="G58">
        <v>1</v>
      </c>
      <c r="H58" t="s">
        <v>227</v>
      </c>
      <c r="I58" s="1">
        <v>42040</v>
      </c>
      <c r="J58" s="1">
        <v>42056</v>
      </c>
      <c r="K58">
        <v>100</v>
      </c>
      <c r="L58">
        <v>16</v>
      </c>
      <c r="M58">
        <v>2</v>
      </c>
      <c r="N58">
        <v>90</v>
      </c>
      <c r="O58">
        <v>0</v>
      </c>
      <c r="P58">
        <v>0</v>
      </c>
      <c r="Q58">
        <v>0</v>
      </c>
      <c r="R58">
        <f>Table1_15[[#This Row],[peak_width_days]]-Table1_15[[#This Row],[time_to_peak_days]]</f>
        <v>14</v>
      </c>
    </row>
    <row r="59" spans="1:18" x14ac:dyDescent="0.3">
      <c r="A59" t="s">
        <v>35</v>
      </c>
      <c r="B59" t="s">
        <v>0</v>
      </c>
      <c r="C59" t="s">
        <v>230</v>
      </c>
      <c r="D59" t="s">
        <v>228</v>
      </c>
      <c r="E59">
        <v>1</v>
      </c>
      <c r="F59" s="1">
        <v>45383</v>
      </c>
      <c r="G59">
        <v>1</v>
      </c>
      <c r="H59" t="s">
        <v>227</v>
      </c>
      <c r="I59" s="1">
        <v>45400</v>
      </c>
      <c r="J59" s="1">
        <v>45405</v>
      </c>
      <c r="K59">
        <v>100</v>
      </c>
      <c r="L59">
        <v>5</v>
      </c>
      <c r="M59">
        <v>1</v>
      </c>
      <c r="N59">
        <v>45</v>
      </c>
      <c r="O59">
        <v>0</v>
      </c>
      <c r="P59">
        <v>0</v>
      </c>
      <c r="Q59">
        <v>0</v>
      </c>
      <c r="R59">
        <f>Table1_15[[#This Row],[peak_width_days]]-Table1_15[[#This Row],[time_to_peak_days]]</f>
        <v>4</v>
      </c>
    </row>
    <row r="60" spans="1:18" x14ac:dyDescent="0.3">
      <c r="A60" t="s">
        <v>43</v>
      </c>
      <c r="B60" t="s">
        <v>0</v>
      </c>
      <c r="C60" t="s">
        <v>231</v>
      </c>
      <c r="D60" t="s">
        <v>228</v>
      </c>
      <c r="E60">
        <v>1</v>
      </c>
      <c r="F60" s="1">
        <v>44197</v>
      </c>
      <c r="G60">
        <v>1</v>
      </c>
      <c r="H60" t="s">
        <v>227</v>
      </c>
      <c r="I60" s="1">
        <v>44187</v>
      </c>
      <c r="J60" s="1">
        <v>44189</v>
      </c>
      <c r="K60">
        <v>100</v>
      </c>
      <c r="L60">
        <v>2</v>
      </c>
      <c r="M60">
        <v>1</v>
      </c>
      <c r="N60">
        <v>45</v>
      </c>
      <c r="O60">
        <v>0</v>
      </c>
      <c r="P60">
        <v>0</v>
      </c>
      <c r="Q60">
        <v>0</v>
      </c>
      <c r="R60">
        <f>Table1_15[[#This Row],[peak_width_days]]-Table1_15[[#This Row],[time_to_peak_days]]</f>
        <v>1</v>
      </c>
    </row>
    <row r="61" spans="1:18" x14ac:dyDescent="0.3">
      <c r="A61" t="s">
        <v>60</v>
      </c>
      <c r="B61" t="s">
        <v>0</v>
      </c>
      <c r="C61" t="s">
        <v>230</v>
      </c>
      <c r="D61" t="s">
        <v>228</v>
      </c>
      <c r="E61">
        <v>1</v>
      </c>
      <c r="F61" s="1">
        <v>45200</v>
      </c>
      <c r="G61">
        <v>1</v>
      </c>
      <c r="H61" t="s">
        <v>227</v>
      </c>
      <c r="I61" s="1">
        <v>45200</v>
      </c>
      <c r="J61" s="1">
        <v>45305</v>
      </c>
      <c r="K61">
        <v>100</v>
      </c>
      <c r="L61">
        <v>105</v>
      </c>
      <c r="M61">
        <v>14</v>
      </c>
      <c r="N61">
        <v>180</v>
      </c>
      <c r="O61">
        <v>0</v>
      </c>
      <c r="P61">
        <v>1</v>
      </c>
      <c r="Q61">
        <v>0</v>
      </c>
      <c r="R61">
        <f>Table1_15[[#This Row],[peak_width_days]]-Table1_15[[#This Row],[time_to_peak_days]]</f>
        <v>91</v>
      </c>
    </row>
    <row r="62" spans="1:18" x14ac:dyDescent="0.3">
      <c r="A62" t="s">
        <v>32</v>
      </c>
      <c r="B62" t="s">
        <v>0</v>
      </c>
      <c r="C62" t="s">
        <v>230</v>
      </c>
      <c r="D62" t="s">
        <v>228</v>
      </c>
      <c r="E62">
        <v>1</v>
      </c>
      <c r="F62" s="1">
        <v>45108</v>
      </c>
      <c r="G62">
        <v>1</v>
      </c>
      <c r="H62" t="s">
        <v>227</v>
      </c>
      <c r="I62" s="1">
        <v>45109</v>
      </c>
      <c r="J62" s="1">
        <v>45347</v>
      </c>
      <c r="K62">
        <v>100</v>
      </c>
      <c r="L62">
        <v>238</v>
      </c>
      <c r="M62">
        <v>21</v>
      </c>
      <c r="N62">
        <v>360</v>
      </c>
      <c r="O62">
        <v>0</v>
      </c>
      <c r="P62">
        <v>1</v>
      </c>
      <c r="Q62">
        <v>0</v>
      </c>
      <c r="R62">
        <f>Table1_15[[#This Row],[peak_width_days]]-Table1_15[[#This Row],[time_to_peak_days]]</f>
        <v>217</v>
      </c>
    </row>
    <row r="63" spans="1:18" x14ac:dyDescent="0.3">
      <c r="A63" t="s">
        <v>54</v>
      </c>
      <c r="B63" t="s">
        <v>0</v>
      </c>
      <c r="C63" t="s">
        <v>230</v>
      </c>
      <c r="D63" t="s">
        <v>228</v>
      </c>
      <c r="E63">
        <v>1</v>
      </c>
      <c r="F63" s="1">
        <v>45200</v>
      </c>
      <c r="G63">
        <v>1</v>
      </c>
      <c r="H63" t="s">
        <v>227</v>
      </c>
      <c r="I63" s="1">
        <v>45039</v>
      </c>
      <c r="J63" s="1">
        <v>45949</v>
      </c>
      <c r="K63">
        <v>100</v>
      </c>
      <c r="L63">
        <v>910</v>
      </c>
      <c r="M63">
        <v>175</v>
      </c>
      <c r="N63">
        <v>1440</v>
      </c>
      <c r="O63">
        <v>0</v>
      </c>
      <c r="P63">
        <v>1</v>
      </c>
      <c r="Q63">
        <v>0</v>
      </c>
      <c r="R63">
        <f>Table1_15[[#This Row],[peak_width_days]]-Table1_15[[#This Row],[time_to_peak_days]]</f>
        <v>735</v>
      </c>
    </row>
    <row r="64" spans="1:18" x14ac:dyDescent="0.3">
      <c r="A64" t="s">
        <v>66</v>
      </c>
      <c r="B64" t="s">
        <v>0</v>
      </c>
      <c r="C64" t="s">
        <v>230</v>
      </c>
      <c r="D64" t="s">
        <v>228</v>
      </c>
      <c r="E64">
        <v>1</v>
      </c>
      <c r="F64" s="1">
        <v>45444</v>
      </c>
      <c r="G64">
        <v>1</v>
      </c>
      <c r="H64" t="s">
        <v>227</v>
      </c>
      <c r="I64" s="1">
        <v>45461</v>
      </c>
      <c r="J64" s="1">
        <v>45479</v>
      </c>
      <c r="K64">
        <v>100</v>
      </c>
      <c r="L64">
        <v>18</v>
      </c>
      <c r="M64">
        <v>4</v>
      </c>
      <c r="N64">
        <v>45</v>
      </c>
      <c r="O64">
        <v>0</v>
      </c>
      <c r="P64">
        <v>0</v>
      </c>
      <c r="Q64">
        <v>0</v>
      </c>
      <c r="R64">
        <f>Table1_15[[#This Row],[peak_width_days]]-Table1_15[[#This Row],[time_to_peak_days]]</f>
        <v>14</v>
      </c>
    </row>
    <row r="65" spans="1:18" x14ac:dyDescent="0.3">
      <c r="A65" t="s">
        <v>65</v>
      </c>
      <c r="B65" t="s">
        <v>0</v>
      </c>
      <c r="C65" t="s">
        <v>230</v>
      </c>
      <c r="D65" t="s">
        <v>228</v>
      </c>
      <c r="E65">
        <v>1</v>
      </c>
      <c r="F65" s="1">
        <v>45778</v>
      </c>
      <c r="G65">
        <v>1</v>
      </c>
      <c r="H65" t="s">
        <v>227</v>
      </c>
      <c r="I65" s="1">
        <v>45746</v>
      </c>
      <c r="J65" s="1">
        <v>45963</v>
      </c>
      <c r="K65">
        <v>100</v>
      </c>
      <c r="L65">
        <v>217</v>
      </c>
      <c r="M65">
        <v>28</v>
      </c>
      <c r="N65">
        <v>360</v>
      </c>
      <c r="O65">
        <v>0</v>
      </c>
      <c r="P65">
        <v>1</v>
      </c>
      <c r="Q65">
        <v>0</v>
      </c>
      <c r="R65">
        <f>Table1_15[[#This Row],[peak_width_days]]-Table1_15[[#This Row],[time_to_peak_days]]</f>
        <v>189</v>
      </c>
    </row>
    <row r="66" spans="1:18" x14ac:dyDescent="0.3">
      <c r="A66" t="s">
        <v>31</v>
      </c>
      <c r="B66" t="s">
        <v>0</v>
      </c>
      <c r="C66" t="s">
        <v>230</v>
      </c>
      <c r="D66" t="s">
        <v>228</v>
      </c>
      <c r="E66">
        <v>1</v>
      </c>
      <c r="F66" s="1">
        <v>45323</v>
      </c>
      <c r="G66">
        <v>1</v>
      </c>
      <c r="H66" t="s">
        <v>227</v>
      </c>
      <c r="I66" s="1">
        <v>45193</v>
      </c>
      <c r="J66" s="1">
        <v>45676</v>
      </c>
      <c r="K66">
        <v>100</v>
      </c>
      <c r="L66">
        <v>483</v>
      </c>
      <c r="M66">
        <v>154</v>
      </c>
      <c r="N66">
        <v>360</v>
      </c>
      <c r="O66">
        <v>0</v>
      </c>
      <c r="P66">
        <v>1</v>
      </c>
      <c r="Q66">
        <v>0</v>
      </c>
      <c r="R66">
        <f>Table1_15[[#This Row],[peak_width_days]]-Table1_15[[#This Row],[time_to_peak_days]]</f>
        <v>329</v>
      </c>
    </row>
    <row r="67" spans="1:18" x14ac:dyDescent="0.3">
      <c r="A67" t="s">
        <v>45</v>
      </c>
      <c r="B67" t="s">
        <v>0</v>
      </c>
      <c r="C67" t="s">
        <v>229</v>
      </c>
      <c r="D67" t="s">
        <v>228</v>
      </c>
      <c r="E67">
        <v>1</v>
      </c>
      <c r="F67" s="1">
        <v>42278</v>
      </c>
      <c r="G67">
        <v>1</v>
      </c>
      <c r="H67" t="s">
        <v>227</v>
      </c>
      <c r="I67" s="1">
        <v>42218</v>
      </c>
      <c r="J67" s="1">
        <v>42414</v>
      </c>
      <c r="K67">
        <v>100</v>
      </c>
      <c r="L67">
        <v>196</v>
      </c>
      <c r="M67">
        <v>56</v>
      </c>
      <c r="N67">
        <v>180</v>
      </c>
      <c r="O67">
        <v>0</v>
      </c>
      <c r="P67">
        <v>1</v>
      </c>
      <c r="Q67">
        <v>0</v>
      </c>
      <c r="R67">
        <f>Table1_15[[#This Row],[peak_width_days]]-Table1_15[[#This Row],[time_to_peak_days]]</f>
        <v>140</v>
      </c>
    </row>
    <row r="68" spans="1:18" x14ac:dyDescent="0.3">
      <c r="A68" t="s">
        <v>44</v>
      </c>
      <c r="B68" t="s">
        <v>0</v>
      </c>
      <c r="C68" t="s">
        <v>229</v>
      </c>
      <c r="D68" t="s">
        <v>228</v>
      </c>
      <c r="E68">
        <v>1</v>
      </c>
      <c r="F68" s="1">
        <v>43770</v>
      </c>
      <c r="G68">
        <v>1</v>
      </c>
      <c r="H68" t="s">
        <v>227</v>
      </c>
      <c r="I68" s="1">
        <v>43772</v>
      </c>
      <c r="J68" s="1">
        <v>43822</v>
      </c>
      <c r="K68">
        <v>100</v>
      </c>
      <c r="L68">
        <v>50</v>
      </c>
      <c r="M68">
        <v>4</v>
      </c>
      <c r="N68">
        <v>90</v>
      </c>
      <c r="O68">
        <v>0</v>
      </c>
      <c r="P68">
        <v>0</v>
      </c>
      <c r="Q68">
        <v>0</v>
      </c>
      <c r="R68">
        <f>Table1_15[[#This Row],[peak_width_days]]-Table1_15[[#This Row],[time_to_peak_days]]</f>
        <v>46</v>
      </c>
    </row>
    <row r="69" spans="1:18" x14ac:dyDescent="0.3">
      <c r="A69" t="s">
        <v>62</v>
      </c>
      <c r="B69" t="s">
        <v>0</v>
      </c>
      <c r="C69" t="s">
        <v>229</v>
      </c>
      <c r="D69" t="s">
        <v>228</v>
      </c>
      <c r="E69">
        <v>1</v>
      </c>
      <c r="F69" s="1">
        <v>43374</v>
      </c>
      <c r="G69">
        <v>0.95</v>
      </c>
      <c r="H69" t="s">
        <v>227</v>
      </c>
      <c r="I69" s="1">
        <v>43375</v>
      </c>
      <c r="J69" s="1">
        <v>43377</v>
      </c>
      <c r="K69">
        <v>100</v>
      </c>
      <c r="L69">
        <v>2</v>
      </c>
      <c r="M69">
        <v>1</v>
      </c>
      <c r="N69">
        <v>45</v>
      </c>
      <c r="O69">
        <v>0</v>
      </c>
      <c r="P69">
        <v>0</v>
      </c>
      <c r="Q69">
        <v>0</v>
      </c>
      <c r="R69">
        <f>Table1_15[[#This Row],[peak_width_days]]-Table1_15[[#This Row],[time_to_peak_days]]</f>
        <v>1</v>
      </c>
    </row>
    <row r="70" spans="1:18" x14ac:dyDescent="0.3">
      <c r="A70" t="s">
        <v>62</v>
      </c>
      <c r="B70" t="s">
        <v>0</v>
      </c>
      <c r="C70" t="s">
        <v>231</v>
      </c>
      <c r="D70" t="s">
        <v>228</v>
      </c>
      <c r="E70">
        <v>2</v>
      </c>
      <c r="F70" s="1">
        <v>44835</v>
      </c>
      <c r="G70">
        <v>1</v>
      </c>
      <c r="H70" t="s">
        <v>227</v>
      </c>
      <c r="I70" s="1">
        <v>44852</v>
      </c>
      <c r="J70" s="1">
        <v>44855</v>
      </c>
      <c r="K70">
        <v>100</v>
      </c>
      <c r="L70">
        <v>3</v>
      </c>
      <c r="M70">
        <v>1</v>
      </c>
      <c r="N70">
        <v>45</v>
      </c>
      <c r="O70">
        <v>0</v>
      </c>
      <c r="P70">
        <v>0</v>
      </c>
      <c r="Q70">
        <v>0</v>
      </c>
      <c r="R70">
        <f>Table1_15[[#This Row],[peak_width_days]]-Table1_15[[#This Row],[time_to_peak_days]]</f>
        <v>2</v>
      </c>
    </row>
    <row r="71" spans="1:18" x14ac:dyDescent="0.3">
      <c r="A71" t="s">
        <v>62</v>
      </c>
      <c r="B71" t="s">
        <v>0</v>
      </c>
      <c r="C71" t="s">
        <v>230</v>
      </c>
      <c r="D71" t="s">
        <v>228</v>
      </c>
      <c r="E71">
        <v>3</v>
      </c>
      <c r="F71" s="1">
        <v>44927</v>
      </c>
      <c r="G71">
        <v>0.64</v>
      </c>
      <c r="H71" t="s">
        <v>227</v>
      </c>
      <c r="I71" s="1">
        <v>44950</v>
      </c>
      <c r="J71" s="1">
        <v>44952</v>
      </c>
      <c r="K71">
        <v>100</v>
      </c>
      <c r="L71">
        <v>2</v>
      </c>
      <c r="M71">
        <v>1</v>
      </c>
      <c r="N71">
        <v>45</v>
      </c>
      <c r="O71">
        <v>0</v>
      </c>
      <c r="P71">
        <v>0</v>
      </c>
      <c r="Q71">
        <v>0</v>
      </c>
      <c r="R71">
        <f>Table1_15[[#This Row],[peak_width_days]]-Table1_15[[#This Row],[time_to_peak_days]]</f>
        <v>1</v>
      </c>
    </row>
    <row r="72" spans="1:18" x14ac:dyDescent="0.3">
      <c r="A72" t="s">
        <v>59</v>
      </c>
      <c r="B72" t="s">
        <v>0</v>
      </c>
      <c r="C72" t="s">
        <v>231</v>
      </c>
      <c r="D72" t="s">
        <v>228</v>
      </c>
      <c r="E72">
        <v>1</v>
      </c>
      <c r="F72" s="1">
        <v>44866</v>
      </c>
      <c r="G72">
        <v>1</v>
      </c>
      <c r="H72" t="s">
        <v>227</v>
      </c>
      <c r="I72" s="1">
        <v>44863</v>
      </c>
      <c r="J72" s="1">
        <v>44898</v>
      </c>
      <c r="K72">
        <v>100</v>
      </c>
      <c r="L72">
        <v>35</v>
      </c>
      <c r="M72">
        <v>17</v>
      </c>
      <c r="N72">
        <v>45</v>
      </c>
      <c r="O72">
        <v>0</v>
      </c>
      <c r="P72">
        <v>0</v>
      </c>
      <c r="Q72">
        <v>0</v>
      </c>
      <c r="R72">
        <f>Table1_15[[#This Row],[peak_width_days]]-Table1_15[[#This Row],[time_to_peak_days]]</f>
        <v>18</v>
      </c>
    </row>
    <row r="73" spans="1:18" x14ac:dyDescent="0.3">
      <c r="A73" t="s">
        <v>59</v>
      </c>
      <c r="B73" t="s">
        <v>0</v>
      </c>
      <c r="C73" t="s">
        <v>230</v>
      </c>
      <c r="D73" t="s">
        <v>228</v>
      </c>
      <c r="E73">
        <v>2</v>
      </c>
      <c r="F73" s="1">
        <v>44927</v>
      </c>
      <c r="G73">
        <v>0.66669999999999996</v>
      </c>
      <c r="H73" t="s">
        <v>227</v>
      </c>
      <c r="I73" s="1">
        <v>44934</v>
      </c>
      <c r="J73" s="1">
        <v>44941</v>
      </c>
      <c r="K73">
        <v>100</v>
      </c>
      <c r="L73">
        <v>7</v>
      </c>
      <c r="M73">
        <v>1</v>
      </c>
      <c r="N73">
        <v>45</v>
      </c>
      <c r="O73">
        <v>0</v>
      </c>
      <c r="P73">
        <v>0</v>
      </c>
      <c r="Q73">
        <v>0</v>
      </c>
      <c r="R73">
        <f>Table1_15[[#This Row],[peak_width_days]]-Table1_15[[#This Row],[time_to_peak_days]]</f>
        <v>6</v>
      </c>
    </row>
    <row r="74" spans="1:18" x14ac:dyDescent="0.3">
      <c r="A74" t="s">
        <v>39</v>
      </c>
      <c r="B74" t="s">
        <v>0</v>
      </c>
      <c r="C74" t="s">
        <v>231</v>
      </c>
      <c r="D74" t="s">
        <v>228</v>
      </c>
      <c r="E74">
        <v>1</v>
      </c>
      <c r="F74" s="1">
        <v>44166</v>
      </c>
      <c r="G74">
        <v>1</v>
      </c>
      <c r="H74" t="s">
        <v>227</v>
      </c>
      <c r="I74" s="1">
        <v>43898</v>
      </c>
      <c r="J74" s="1">
        <v>44423</v>
      </c>
      <c r="K74">
        <v>100</v>
      </c>
      <c r="L74">
        <v>525</v>
      </c>
      <c r="M74">
        <v>301</v>
      </c>
      <c r="N74">
        <v>360</v>
      </c>
      <c r="O74">
        <v>0</v>
      </c>
      <c r="P74">
        <v>1</v>
      </c>
      <c r="Q74">
        <v>0</v>
      </c>
      <c r="R74">
        <f>Table1_15[[#This Row],[peak_width_days]]-Table1_15[[#This Row],[time_to_peak_days]]</f>
        <v>224</v>
      </c>
    </row>
    <row r="75" spans="1:18" x14ac:dyDescent="0.3">
      <c r="A75" t="s">
        <v>40</v>
      </c>
      <c r="B75" t="s">
        <v>0</v>
      </c>
      <c r="C75" t="s">
        <v>231</v>
      </c>
      <c r="D75" t="s">
        <v>228</v>
      </c>
      <c r="E75">
        <v>1</v>
      </c>
      <c r="F75" s="1">
        <v>44287</v>
      </c>
      <c r="G75">
        <v>1</v>
      </c>
      <c r="H75" t="s">
        <v>227</v>
      </c>
      <c r="I75" s="1">
        <v>44331</v>
      </c>
      <c r="J75" s="1">
        <v>44333</v>
      </c>
      <c r="K75">
        <v>100</v>
      </c>
      <c r="L75">
        <v>2</v>
      </c>
      <c r="M75">
        <v>1</v>
      </c>
      <c r="N75">
        <v>90</v>
      </c>
      <c r="O75">
        <v>0</v>
      </c>
      <c r="P75">
        <v>0</v>
      </c>
      <c r="Q75">
        <v>0</v>
      </c>
      <c r="R75">
        <f>Table1_15[[#This Row],[peak_width_days]]-Table1_15[[#This Row],[time_to_peak_days]]</f>
        <v>1</v>
      </c>
    </row>
    <row r="76" spans="1:18" x14ac:dyDescent="0.3">
      <c r="A76" t="s">
        <v>40</v>
      </c>
      <c r="B76" t="s">
        <v>0</v>
      </c>
      <c r="C76" t="s">
        <v>230</v>
      </c>
      <c r="D76" t="s">
        <v>228</v>
      </c>
      <c r="E76">
        <v>2</v>
      </c>
      <c r="F76" s="1">
        <v>45261</v>
      </c>
      <c r="G76">
        <v>1</v>
      </c>
      <c r="H76" t="s">
        <v>227</v>
      </c>
      <c r="I76" s="1">
        <v>45260</v>
      </c>
      <c r="J76" s="1">
        <v>45262</v>
      </c>
      <c r="K76">
        <v>100</v>
      </c>
      <c r="L76">
        <v>2</v>
      </c>
      <c r="M76">
        <v>1</v>
      </c>
      <c r="N76">
        <v>45</v>
      </c>
      <c r="O76">
        <v>0</v>
      </c>
      <c r="P76">
        <v>0</v>
      </c>
      <c r="Q76">
        <v>0</v>
      </c>
      <c r="R76">
        <f>Table1_15[[#This Row],[peak_width_days]]-Table1_15[[#This Row],[time_to_peak_days]]</f>
        <v>1</v>
      </c>
    </row>
    <row r="77" spans="1:18" x14ac:dyDescent="0.3">
      <c r="A77" t="s">
        <v>61</v>
      </c>
      <c r="B77" t="s">
        <v>0</v>
      </c>
      <c r="C77" t="s">
        <v>231</v>
      </c>
      <c r="D77" t="s">
        <v>228</v>
      </c>
      <c r="E77">
        <v>1</v>
      </c>
      <c r="F77" s="1">
        <v>44409</v>
      </c>
      <c r="G77">
        <v>1</v>
      </c>
      <c r="H77" t="s">
        <v>227</v>
      </c>
      <c r="I77" s="1">
        <v>44399</v>
      </c>
      <c r="J77" s="1">
        <v>44490</v>
      </c>
      <c r="K77">
        <v>100</v>
      </c>
      <c r="L77">
        <v>91</v>
      </c>
      <c r="M77">
        <v>16</v>
      </c>
      <c r="N77">
        <v>90</v>
      </c>
      <c r="O77">
        <v>0</v>
      </c>
      <c r="P77">
        <v>0</v>
      </c>
      <c r="Q77">
        <v>0</v>
      </c>
      <c r="R77">
        <f>Table1_15[[#This Row],[peak_width_days]]-Table1_15[[#This Row],[time_to_peak_days]]</f>
        <v>75</v>
      </c>
    </row>
    <row r="78" spans="1:18" x14ac:dyDescent="0.3">
      <c r="A78" t="s">
        <v>61</v>
      </c>
      <c r="B78" t="s">
        <v>0</v>
      </c>
      <c r="C78" t="s">
        <v>230</v>
      </c>
      <c r="D78" t="s">
        <v>228</v>
      </c>
      <c r="E78">
        <v>2</v>
      </c>
      <c r="F78" s="1">
        <v>44927</v>
      </c>
      <c r="G78">
        <v>0.5</v>
      </c>
      <c r="H78" t="s">
        <v>227</v>
      </c>
      <c r="I78" s="1">
        <v>44949</v>
      </c>
      <c r="J78" s="1">
        <v>44955</v>
      </c>
      <c r="K78">
        <v>100</v>
      </c>
      <c r="L78">
        <v>6</v>
      </c>
      <c r="M78">
        <v>4</v>
      </c>
      <c r="N78">
        <v>45</v>
      </c>
      <c r="O78">
        <v>0</v>
      </c>
      <c r="P78">
        <v>0</v>
      </c>
      <c r="Q78">
        <v>0</v>
      </c>
      <c r="R78">
        <f>Table1_15[[#This Row],[peak_width_days]]-Table1_15[[#This Row],[time_to_peak_days]]</f>
        <v>2</v>
      </c>
    </row>
    <row r="79" spans="1:18" x14ac:dyDescent="0.3">
      <c r="A79" t="s">
        <v>64</v>
      </c>
      <c r="B79" t="s">
        <v>0</v>
      </c>
      <c r="C79" t="s">
        <v>230</v>
      </c>
      <c r="D79" t="s">
        <v>228</v>
      </c>
      <c r="E79">
        <v>1</v>
      </c>
      <c r="F79" s="1">
        <v>45200</v>
      </c>
      <c r="G79">
        <v>1</v>
      </c>
      <c r="H79" t="s">
        <v>227</v>
      </c>
      <c r="I79" s="1">
        <v>45074</v>
      </c>
      <c r="J79" s="1">
        <v>45760</v>
      </c>
      <c r="K79">
        <v>100</v>
      </c>
      <c r="L79">
        <v>686</v>
      </c>
      <c r="M79">
        <v>567</v>
      </c>
      <c r="N79">
        <v>720</v>
      </c>
      <c r="O79">
        <v>0</v>
      </c>
      <c r="P79">
        <v>1</v>
      </c>
      <c r="Q79">
        <v>0</v>
      </c>
      <c r="R79">
        <f>Table1_15[[#This Row],[peak_width_days]]-Table1_15[[#This Row],[time_to_peak_days]]</f>
        <v>119</v>
      </c>
    </row>
    <row r="80" spans="1:18" x14ac:dyDescent="0.3">
      <c r="A80" t="s">
        <v>42</v>
      </c>
      <c r="B80" t="s">
        <v>0</v>
      </c>
      <c r="C80" t="s">
        <v>229</v>
      </c>
      <c r="D80" t="s">
        <v>228</v>
      </c>
      <c r="E80">
        <v>1</v>
      </c>
      <c r="F80" s="1">
        <v>43709</v>
      </c>
      <c r="G80">
        <v>1</v>
      </c>
      <c r="H80" t="s">
        <v>227</v>
      </c>
      <c r="I80" s="1">
        <v>43685</v>
      </c>
      <c r="J80" s="1">
        <v>43796</v>
      </c>
      <c r="K80">
        <v>100</v>
      </c>
      <c r="L80">
        <v>111</v>
      </c>
      <c r="M80">
        <v>35</v>
      </c>
      <c r="N80">
        <v>90</v>
      </c>
      <c r="O80">
        <v>0</v>
      </c>
      <c r="P80">
        <v>0</v>
      </c>
      <c r="Q80">
        <v>0</v>
      </c>
      <c r="R80">
        <f>Table1_15[[#This Row],[peak_width_days]]-Table1_15[[#This Row],[time_to_peak_days]]</f>
        <v>76</v>
      </c>
    </row>
    <row r="81" spans="1:18" x14ac:dyDescent="0.3">
      <c r="A81" t="s">
        <v>63</v>
      </c>
      <c r="B81" t="s">
        <v>0</v>
      </c>
      <c r="C81" t="s">
        <v>231</v>
      </c>
      <c r="D81" t="s">
        <v>228</v>
      </c>
      <c r="E81">
        <v>1</v>
      </c>
      <c r="F81" s="1">
        <v>44105</v>
      </c>
      <c r="G81">
        <v>1</v>
      </c>
      <c r="H81" t="s">
        <v>227</v>
      </c>
      <c r="I81" s="1">
        <v>44091</v>
      </c>
      <c r="J81" s="1">
        <v>44191</v>
      </c>
      <c r="K81">
        <v>100</v>
      </c>
      <c r="L81">
        <v>100</v>
      </c>
      <c r="M81">
        <v>18</v>
      </c>
      <c r="N81">
        <v>90</v>
      </c>
      <c r="O81">
        <v>0</v>
      </c>
      <c r="P81">
        <v>0</v>
      </c>
      <c r="Q81">
        <v>0</v>
      </c>
      <c r="R81">
        <f>Table1_15[[#This Row],[peak_width_days]]-Table1_15[[#This Row],[time_to_peak_days]]</f>
        <v>82</v>
      </c>
    </row>
    <row r="82" spans="1:18" x14ac:dyDescent="0.3">
      <c r="A82" t="s">
        <v>48</v>
      </c>
      <c r="B82" t="s">
        <v>0</v>
      </c>
      <c r="C82" t="s">
        <v>229</v>
      </c>
      <c r="D82" t="s">
        <v>228</v>
      </c>
      <c r="E82">
        <v>1</v>
      </c>
      <c r="F82" s="1">
        <v>42095</v>
      </c>
      <c r="G82">
        <v>1</v>
      </c>
      <c r="H82" t="s">
        <v>227</v>
      </c>
      <c r="I82" s="1">
        <v>42102</v>
      </c>
      <c r="J82" s="1">
        <v>42107</v>
      </c>
      <c r="K82">
        <v>100</v>
      </c>
      <c r="L82">
        <v>5</v>
      </c>
      <c r="M82">
        <v>2</v>
      </c>
      <c r="N82">
        <v>45</v>
      </c>
      <c r="O82">
        <v>0</v>
      </c>
      <c r="P82">
        <v>0</v>
      </c>
      <c r="Q82">
        <v>0</v>
      </c>
      <c r="R82">
        <f>Table1_15[[#This Row],[peak_width_days]]-Table1_15[[#This Row],[time_to_peak_days]]</f>
        <v>3</v>
      </c>
    </row>
    <row r="83" spans="1:18" x14ac:dyDescent="0.3">
      <c r="A83" t="s">
        <v>48</v>
      </c>
      <c r="B83" t="s">
        <v>0</v>
      </c>
      <c r="C83" t="s">
        <v>231</v>
      </c>
      <c r="D83" t="s">
        <v>228</v>
      </c>
      <c r="E83">
        <v>2</v>
      </c>
      <c r="F83" s="1">
        <v>43952</v>
      </c>
      <c r="G83">
        <v>1</v>
      </c>
      <c r="H83" t="s">
        <v>227</v>
      </c>
      <c r="I83" s="1">
        <v>43938</v>
      </c>
      <c r="J83" s="1">
        <v>43977</v>
      </c>
      <c r="K83">
        <v>100</v>
      </c>
      <c r="L83">
        <v>39</v>
      </c>
      <c r="M83">
        <v>36</v>
      </c>
      <c r="N83">
        <v>45</v>
      </c>
      <c r="O83">
        <v>0</v>
      </c>
      <c r="P83">
        <v>0</v>
      </c>
      <c r="Q83">
        <v>0</v>
      </c>
      <c r="R83">
        <f>Table1_15[[#This Row],[peak_width_days]]-Table1_15[[#This Row],[time_to_peak_days]]</f>
        <v>3</v>
      </c>
    </row>
    <row r="84" spans="1:18" x14ac:dyDescent="0.3">
      <c r="A84" t="s">
        <v>48</v>
      </c>
      <c r="B84" t="s">
        <v>0</v>
      </c>
      <c r="C84" t="s">
        <v>230</v>
      </c>
      <c r="D84" t="s">
        <v>228</v>
      </c>
      <c r="E84">
        <v>3</v>
      </c>
      <c r="F84" s="1">
        <v>46054</v>
      </c>
      <c r="G84">
        <v>1</v>
      </c>
      <c r="H84" t="s">
        <v>227</v>
      </c>
      <c r="I84" s="1">
        <v>46059</v>
      </c>
      <c r="J84" s="1">
        <v>46082</v>
      </c>
      <c r="K84">
        <v>100</v>
      </c>
      <c r="L84">
        <v>23</v>
      </c>
      <c r="M84">
        <v>10</v>
      </c>
      <c r="N84">
        <v>45</v>
      </c>
      <c r="O84">
        <v>0</v>
      </c>
      <c r="P84">
        <v>0</v>
      </c>
      <c r="Q84">
        <v>0</v>
      </c>
      <c r="R84">
        <f>Table1_15[[#This Row],[peak_width_days]]-Table1_15[[#This Row],[time_to_peak_days]]</f>
        <v>13</v>
      </c>
    </row>
    <row r="85" spans="1:18" x14ac:dyDescent="0.3">
      <c r="A85" t="s">
        <v>37</v>
      </c>
      <c r="B85" t="s">
        <v>0</v>
      </c>
      <c r="C85" t="s">
        <v>231</v>
      </c>
      <c r="D85" t="s">
        <v>228</v>
      </c>
      <c r="E85">
        <v>1</v>
      </c>
      <c r="F85" s="1">
        <v>44470</v>
      </c>
      <c r="G85">
        <v>1</v>
      </c>
      <c r="H85" t="s">
        <v>227</v>
      </c>
      <c r="I85" s="1">
        <v>44451</v>
      </c>
      <c r="J85" s="1">
        <v>44543</v>
      </c>
      <c r="K85">
        <v>100</v>
      </c>
      <c r="L85">
        <v>92</v>
      </c>
      <c r="M85">
        <v>28</v>
      </c>
      <c r="N85">
        <v>90</v>
      </c>
      <c r="O85">
        <v>0</v>
      </c>
      <c r="P85">
        <v>0</v>
      </c>
      <c r="Q85">
        <v>0</v>
      </c>
      <c r="R85">
        <f>Table1_15[[#This Row],[peak_width_days]]-Table1_15[[#This Row],[time_to_peak_days]]</f>
        <v>64</v>
      </c>
    </row>
    <row r="86" spans="1:18" x14ac:dyDescent="0.3">
      <c r="A86" t="s">
        <v>38</v>
      </c>
      <c r="B86" t="s">
        <v>0</v>
      </c>
      <c r="C86" t="s">
        <v>229</v>
      </c>
      <c r="D86" t="s">
        <v>228</v>
      </c>
      <c r="E86">
        <v>1</v>
      </c>
      <c r="F86" s="1">
        <v>43770</v>
      </c>
      <c r="G86">
        <v>1</v>
      </c>
      <c r="H86" t="s">
        <v>227</v>
      </c>
      <c r="I86" s="1">
        <v>43758</v>
      </c>
      <c r="J86" s="1">
        <v>43796</v>
      </c>
      <c r="K86">
        <v>100</v>
      </c>
      <c r="L86">
        <v>38</v>
      </c>
      <c r="M86">
        <v>10</v>
      </c>
      <c r="N86">
        <v>45</v>
      </c>
      <c r="O86">
        <v>0</v>
      </c>
      <c r="P86">
        <v>0</v>
      </c>
      <c r="Q86">
        <v>0</v>
      </c>
      <c r="R86">
        <f>Table1_15[[#This Row],[peak_width_days]]-Table1_15[[#This Row],[time_to_peak_days]]</f>
        <v>28</v>
      </c>
    </row>
    <row r="87" spans="1:18" x14ac:dyDescent="0.3">
      <c r="A87" t="s">
        <v>36</v>
      </c>
      <c r="B87" t="s">
        <v>0</v>
      </c>
      <c r="C87" t="s">
        <v>229</v>
      </c>
      <c r="D87" t="s">
        <v>228</v>
      </c>
      <c r="E87">
        <v>1</v>
      </c>
      <c r="F87" s="1">
        <v>43770</v>
      </c>
      <c r="G87">
        <v>1</v>
      </c>
      <c r="H87" t="s">
        <v>227</v>
      </c>
      <c r="I87" s="1">
        <v>43770</v>
      </c>
      <c r="J87" s="1">
        <v>43798</v>
      </c>
      <c r="K87">
        <v>100</v>
      </c>
      <c r="L87">
        <v>28</v>
      </c>
      <c r="M87">
        <v>6</v>
      </c>
      <c r="N87">
        <v>45</v>
      </c>
      <c r="O87">
        <v>0</v>
      </c>
      <c r="P87">
        <v>0</v>
      </c>
      <c r="Q87">
        <v>0</v>
      </c>
      <c r="R87">
        <f>Table1_15[[#This Row],[peak_width_days]]-Table1_15[[#This Row],[time_to_peak_days]]</f>
        <v>22</v>
      </c>
    </row>
    <row r="88" spans="1:18" x14ac:dyDescent="0.3">
      <c r="A88" t="s">
        <v>36</v>
      </c>
      <c r="B88" t="s">
        <v>0</v>
      </c>
      <c r="C88" t="s">
        <v>231</v>
      </c>
      <c r="D88" t="s">
        <v>228</v>
      </c>
      <c r="E88">
        <v>2</v>
      </c>
      <c r="F88" s="1">
        <v>43983</v>
      </c>
      <c r="G88">
        <v>0.66669999999999996</v>
      </c>
      <c r="H88" t="s">
        <v>227</v>
      </c>
      <c r="I88" s="1">
        <v>44002</v>
      </c>
      <c r="J88" s="1">
        <v>44007</v>
      </c>
      <c r="K88">
        <v>100</v>
      </c>
      <c r="L88">
        <v>5</v>
      </c>
      <c r="M88">
        <v>1</v>
      </c>
      <c r="N88">
        <v>45</v>
      </c>
      <c r="O88">
        <v>0</v>
      </c>
      <c r="P88">
        <v>0</v>
      </c>
      <c r="Q88">
        <v>0</v>
      </c>
      <c r="R88">
        <f>Table1_15[[#This Row],[peak_width_days]]-Table1_15[[#This Row],[time_to_peak_days]]</f>
        <v>4</v>
      </c>
    </row>
    <row r="89" spans="1:18" x14ac:dyDescent="0.3">
      <c r="A89" t="s">
        <v>36</v>
      </c>
      <c r="B89" t="s">
        <v>0</v>
      </c>
      <c r="C89" t="s">
        <v>230</v>
      </c>
      <c r="D89" t="s">
        <v>228</v>
      </c>
      <c r="E89">
        <v>3</v>
      </c>
      <c r="F89" s="1">
        <v>45658</v>
      </c>
      <c r="G89">
        <v>1</v>
      </c>
      <c r="H89" t="s">
        <v>227</v>
      </c>
      <c r="I89" s="1">
        <v>45673</v>
      </c>
      <c r="J89" s="1">
        <v>45676</v>
      </c>
      <c r="K89">
        <v>100</v>
      </c>
      <c r="L89">
        <v>3</v>
      </c>
      <c r="M89">
        <v>1</v>
      </c>
      <c r="N89">
        <v>45</v>
      </c>
      <c r="O89">
        <v>0</v>
      </c>
      <c r="P89">
        <v>0</v>
      </c>
      <c r="Q89">
        <v>0</v>
      </c>
      <c r="R89">
        <f>Table1_15[[#This Row],[peak_width_days]]-Table1_15[[#This Row],[time_to_peak_days]]</f>
        <v>2</v>
      </c>
    </row>
    <row r="90" spans="1:18" x14ac:dyDescent="0.3">
      <c r="A90" t="s">
        <v>29</v>
      </c>
      <c r="B90" t="s">
        <v>0</v>
      </c>
      <c r="C90" t="s">
        <v>229</v>
      </c>
      <c r="D90" t="s">
        <v>228</v>
      </c>
      <c r="E90">
        <v>1</v>
      </c>
      <c r="F90" s="1">
        <v>42125</v>
      </c>
      <c r="G90">
        <v>1</v>
      </c>
      <c r="H90" t="s">
        <v>227</v>
      </c>
      <c r="I90" s="1">
        <v>42143</v>
      </c>
      <c r="J90" s="1">
        <v>42165</v>
      </c>
      <c r="K90">
        <v>100</v>
      </c>
      <c r="L90">
        <v>22</v>
      </c>
      <c r="M90">
        <v>11</v>
      </c>
      <c r="N90">
        <v>45</v>
      </c>
      <c r="O90">
        <v>0</v>
      </c>
      <c r="P90">
        <v>0</v>
      </c>
      <c r="Q90">
        <v>0</v>
      </c>
      <c r="R90">
        <f>Table1_15[[#This Row],[peak_width_days]]-Table1_15[[#This Row],[time_to_peak_days]]</f>
        <v>11</v>
      </c>
    </row>
    <row r="91" spans="1:18" x14ac:dyDescent="0.3">
      <c r="A91" t="s">
        <v>28</v>
      </c>
      <c r="B91" t="s">
        <v>0</v>
      </c>
      <c r="C91" t="s">
        <v>231</v>
      </c>
      <c r="D91" t="s">
        <v>228</v>
      </c>
      <c r="E91">
        <v>2</v>
      </c>
      <c r="F91" s="1">
        <v>44166</v>
      </c>
      <c r="G91">
        <v>1</v>
      </c>
      <c r="H91" t="s">
        <v>227</v>
      </c>
      <c r="I91" s="1">
        <v>44176</v>
      </c>
      <c r="J91" s="1">
        <v>44186</v>
      </c>
      <c r="K91">
        <v>100</v>
      </c>
      <c r="L91">
        <v>10</v>
      </c>
      <c r="M91">
        <v>4</v>
      </c>
      <c r="N91">
        <v>45</v>
      </c>
      <c r="O91">
        <v>0</v>
      </c>
      <c r="P91">
        <v>0</v>
      </c>
      <c r="Q91">
        <v>0</v>
      </c>
      <c r="R91">
        <f>Table1_15[[#This Row],[peak_width_days]]-Table1_15[[#This Row],[time_to_peak_days]]</f>
        <v>6</v>
      </c>
    </row>
    <row r="92" spans="1:18" x14ac:dyDescent="0.3">
      <c r="A92" t="s">
        <v>26</v>
      </c>
      <c r="B92" t="s">
        <v>0</v>
      </c>
      <c r="C92" t="s">
        <v>230</v>
      </c>
      <c r="D92" t="s">
        <v>228</v>
      </c>
      <c r="E92">
        <v>3</v>
      </c>
      <c r="F92" s="1">
        <v>46054</v>
      </c>
      <c r="G92">
        <v>0.6905</v>
      </c>
      <c r="H92" t="s">
        <v>227</v>
      </c>
      <c r="I92" s="1">
        <v>45975</v>
      </c>
      <c r="J92" s="1">
        <v>46066</v>
      </c>
      <c r="K92">
        <v>100</v>
      </c>
      <c r="L92">
        <v>91</v>
      </c>
      <c r="M92">
        <v>79</v>
      </c>
      <c r="N92">
        <v>90</v>
      </c>
      <c r="O92">
        <v>0</v>
      </c>
      <c r="P92">
        <v>0</v>
      </c>
      <c r="Q92">
        <v>0</v>
      </c>
      <c r="R92">
        <f>Table1_15[[#This Row],[peak_width_days]]-Table1_15[[#This Row],[time_to_peak_days]]</f>
        <v>12</v>
      </c>
    </row>
    <row r="93" spans="1:18" x14ac:dyDescent="0.3">
      <c r="A93" t="s">
        <v>22</v>
      </c>
      <c r="B93" t="s">
        <v>0</v>
      </c>
      <c r="C93" t="s">
        <v>230</v>
      </c>
      <c r="D93" t="s">
        <v>228</v>
      </c>
      <c r="E93">
        <v>2</v>
      </c>
      <c r="F93" s="1">
        <v>45047</v>
      </c>
      <c r="G93">
        <v>0.8</v>
      </c>
      <c r="H93" t="s">
        <v>227</v>
      </c>
      <c r="I93" s="1">
        <v>45050</v>
      </c>
      <c r="J93" s="1">
        <v>45061</v>
      </c>
      <c r="K93">
        <v>100</v>
      </c>
      <c r="L93">
        <v>11</v>
      </c>
      <c r="M93">
        <v>3</v>
      </c>
      <c r="N93">
        <v>45</v>
      </c>
      <c r="O93">
        <v>0</v>
      </c>
      <c r="P93">
        <v>0</v>
      </c>
      <c r="Q93">
        <v>0</v>
      </c>
      <c r="R93">
        <f>Table1_15[[#This Row],[peak_width_days]]-Table1_15[[#This Row],[time_to_peak_days]]</f>
        <v>8</v>
      </c>
    </row>
    <row r="94" spans="1:18" x14ac:dyDescent="0.3">
      <c r="A94" t="s">
        <v>21</v>
      </c>
      <c r="B94" t="s">
        <v>0</v>
      </c>
      <c r="C94" t="s">
        <v>229</v>
      </c>
      <c r="D94" t="s">
        <v>228</v>
      </c>
      <c r="E94">
        <v>1</v>
      </c>
      <c r="F94" s="1">
        <v>42767</v>
      </c>
      <c r="G94">
        <v>0.9</v>
      </c>
      <c r="H94" t="s">
        <v>227</v>
      </c>
      <c r="I94" s="1">
        <v>42785</v>
      </c>
      <c r="J94" s="1">
        <v>42793</v>
      </c>
      <c r="K94">
        <v>100</v>
      </c>
      <c r="L94">
        <v>8</v>
      </c>
      <c r="M94">
        <v>4</v>
      </c>
      <c r="N94">
        <v>45</v>
      </c>
      <c r="O94">
        <v>0</v>
      </c>
      <c r="P94">
        <v>0</v>
      </c>
      <c r="Q94">
        <v>0</v>
      </c>
      <c r="R94">
        <f>Table1_15[[#This Row],[peak_width_days]]-Table1_15[[#This Row],[time_to_peak_days]]</f>
        <v>4</v>
      </c>
    </row>
    <row r="95" spans="1:18" x14ac:dyDescent="0.3">
      <c r="A95" t="s">
        <v>20</v>
      </c>
      <c r="B95" t="s">
        <v>0</v>
      </c>
      <c r="C95" t="s">
        <v>231</v>
      </c>
      <c r="D95" t="s">
        <v>228</v>
      </c>
      <c r="E95">
        <v>2</v>
      </c>
      <c r="F95" s="1">
        <v>43952</v>
      </c>
      <c r="G95">
        <v>1</v>
      </c>
      <c r="H95" t="s">
        <v>227</v>
      </c>
      <c r="I95" s="1">
        <v>43971</v>
      </c>
      <c r="J95" s="1">
        <v>43974</v>
      </c>
      <c r="K95">
        <v>100</v>
      </c>
      <c r="L95">
        <v>3</v>
      </c>
      <c r="M95">
        <v>1</v>
      </c>
      <c r="N95">
        <v>45</v>
      </c>
      <c r="O95">
        <v>0</v>
      </c>
      <c r="P95">
        <v>0</v>
      </c>
      <c r="Q95">
        <v>0</v>
      </c>
      <c r="R95">
        <f>Table1_15[[#This Row],[peak_width_days]]-Table1_15[[#This Row],[time_to_peak_days]]</f>
        <v>2</v>
      </c>
    </row>
    <row r="96" spans="1:18" x14ac:dyDescent="0.3">
      <c r="A96" t="s">
        <v>20</v>
      </c>
      <c r="B96" t="s">
        <v>0</v>
      </c>
      <c r="C96" t="s">
        <v>230</v>
      </c>
      <c r="D96" t="s">
        <v>228</v>
      </c>
      <c r="E96">
        <v>3</v>
      </c>
      <c r="F96" s="1">
        <v>45962</v>
      </c>
      <c r="G96">
        <v>0.68</v>
      </c>
      <c r="H96" t="s">
        <v>227</v>
      </c>
      <c r="I96" s="1">
        <v>45981</v>
      </c>
      <c r="J96" s="1">
        <v>45988</v>
      </c>
      <c r="K96">
        <v>100</v>
      </c>
      <c r="L96">
        <v>7</v>
      </c>
      <c r="M96">
        <v>2</v>
      </c>
      <c r="N96">
        <v>45</v>
      </c>
      <c r="O96">
        <v>0</v>
      </c>
      <c r="P96">
        <v>0</v>
      </c>
      <c r="Q96">
        <v>0</v>
      </c>
      <c r="R96">
        <f>Table1_15[[#This Row],[peak_width_days]]-Table1_15[[#This Row],[time_to_peak_days]]</f>
        <v>5</v>
      </c>
    </row>
    <row r="97" spans="1:18" x14ac:dyDescent="0.3">
      <c r="A97" t="s">
        <v>19</v>
      </c>
      <c r="B97" t="s">
        <v>0</v>
      </c>
      <c r="C97" t="s">
        <v>229</v>
      </c>
      <c r="D97" t="s">
        <v>228</v>
      </c>
      <c r="E97">
        <v>1</v>
      </c>
      <c r="F97" s="1">
        <v>43313</v>
      </c>
      <c r="G97">
        <v>1</v>
      </c>
      <c r="H97" t="s">
        <v>227</v>
      </c>
      <c r="I97" s="1">
        <v>43288</v>
      </c>
      <c r="J97" s="1">
        <v>43353</v>
      </c>
      <c r="K97">
        <v>100</v>
      </c>
      <c r="L97">
        <v>65</v>
      </c>
      <c r="M97">
        <v>28</v>
      </c>
      <c r="N97">
        <v>45</v>
      </c>
      <c r="O97">
        <v>0</v>
      </c>
      <c r="P97">
        <v>0</v>
      </c>
      <c r="Q97">
        <v>0</v>
      </c>
      <c r="R97">
        <f>Table1_15[[#This Row],[peak_width_days]]-Table1_15[[#This Row],[time_to_peak_days]]</f>
        <v>37</v>
      </c>
    </row>
    <row r="98" spans="1:18" x14ac:dyDescent="0.3">
      <c r="A98" t="s">
        <v>16</v>
      </c>
      <c r="B98" t="s">
        <v>0</v>
      </c>
      <c r="C98" t="s">
        <v>231</v>
      </c>
      <c r="D98" t="s">
        <v>228</v>
      </c>
      <c r="E98">
        <v>1</v>
      </c>
      <c r="F98" s="1">
        <v>44136</v>
      </c>
      <c r="G98">
        <v>1</v>
      </c>
      <c r="H98" t="s">
        <v>227</v>
      </c>
      <c r="I98" s="1">
        <v>44149</v>
      </c>
      <c r="J98" s="1">
        <v>44160</v>
      </c>
      <c r="K98">
        <v>100</v>
      </c>
      <c r="L98">
        <v>11</v>
      </c>
      <c r="M98">
        <v>2</v>
      </c>
      <c r="N98">
        <v>45</v>
      </c>
      <c r="O98">
        <v>0</v>
      </c>
      <c r="P98">
        <v>0</v>
      </c>
      <c r="Q98">
        <v>0</v>
      </c>
      <c r="R98">
        <f>Table1_15[[#This Row],[peak_width_days]]-Table1_15[[#This Row],[time_to_peak_days]]</f>
        <v>9</v>
      </c>
    </row>
    <row r="99" spans="1:18" x14ac:dyDescent="0.3">
      <c r="A99" t="s">
        <v>16</v>
      </c>
      <c r="B99" t="s">
        <v>0</v>
      </c>
      <c r="C99" t="s">
        <v>230</v>
      </c>
      <c r="D99" t="s">
        <v>228</v>
      </c>
      <c r="E99">
        <v>2</v>
      </c>
      <c r="F99" s="1">
        <v>46054</v>
      </c>
      <c r="G99">
        <v>1</v>
      </c>
      <c r="H99" t="s">
        <v>227</v>
      </c>
      <c r="I99" s="1">
        <v>46059</v>
      </c>
      <c r="J99" s="1">
        <v>46081</v>
      </c>
      <c r="K99">
        <v>100</v>
      </c>
      <c r="L99">
        <v>22</v>
      </c>
      <c r="M99">
        <v>9</v>
      </c>
      <c r="N99">
        <v>45</v>
      </c>
      <c r="O99">
        <v>0</v>
      </c>
      <c r="P99">
        <v>0</v>
      </c>
      <c r="Q99">
        <v>0</v>
      </c>
      <c r="R99">
        <f>Table1_15[[#This Row],[peak_width_days]]-Table1_15[[#This Row],[time_to_peak_days]]</f>
        <v>13</v>
      </c>
    </row>
    <row r="100" spans="1:18" x14ac:dyDescent="0.3">
      <c r="A100" t="s">
        <v>15</v>
      </c>
      <c r="B100" t="s">
        <v>0</v>
      </c>
      <c r="C100" t="s">
        <v>230</v>
      </c>
      <c r="D100" t="s">
        <v>228</v>
      </c>
      <c r="E100">
        <v>3</v>
      </c>
      <c r="F100" s="1">
        <v>46054</v>
      </c>
      <c r="G100">
        <v>0.66669999999999996</v>
      </c>
      <c r="H100" t="s">
        <v>227</v>
      </c>
      <c r="I100" s="1">
        <v>46059</v>
      </c>
      <c r="J100" s="1">
        <v>46081</v>
      </c>
      <c r="K100">
        <v>100</v>
      </c>
      <c r="L100">
        <v>22</v>
      </c>
      <c r="M100">
        <v>9</v>
      </c>
      <c r="N100">
        <v>45</v>
      </c>
      <c r="O100">
        <v>0</v>
      </c>
      <c r="P100">
        <v>0</v>
      </c>
      <c r="Q100">
        <v>0</v>
      </c>
      <c r="R100">
        <f>Table1_15[[#This Row],[peak_width_days]]-Table1_15[[#This Row],[time_to_peak_days]]</f>
        <v>13</v>
      </c>
    </row>
    <row r="101" spans="1:18" x14ac:dyDescent="0.3">
      <c r="A101" t="s">
        <v>13</v>
      </c>
      <c r="B101" t="s">
        <v>0</v>
      </c>
      <c r="C101" t="s">
        <v>230</v>
      </c>
      <c r="D101" t="s">
        <v>228</v>
      </c>
      <c r="E101">
        <v>1</v>
      </c>
      <c r="F101" s="1">
        <v>45444</v>
      </c>
      <c r="G101">
        <v>1</v>
      </c>
      <c r="H101" t="s">
        <v>227</v>
      </c>
      <c r="I101" s="1">
        <v>45445</v>
      </c>
      <c r="J101" s="1">
        <v>45461</v>
      </c>
      <c r="K101">
        <v>100</v>
      </c>
      <c r="L101">
        <v>16</v>
      </c>
      <c r="M101">
        <v>3</v>
      </c>
      <c r="N101">
        <v>45</v>
      </c>
      <c r="O101">
        <v>0</v>
      </c>
      <c r="P101">
        <v>0</v>
      </c>
      <c r="Q101">
        <v>0</v>
      </c>
      <c r="R101">
        <f>Table1_15[[#This Row],[peak_width_days]]-Table1_15[[#This Row],[time_to_peak_days]]</f>
        <v>13</v>
      </c>
    </row>
    <row r="102" spans="1:18" x14ac:dyDescent="0.3">
      <c r="A102" t="s">
        <v>11</v>
      </c>
      <c r="B102" t="s">
        <v>0</v>
      </c>
      <c r="C102" t="s">
        <v>229</v>
      </c>
      <c r="D102" t="s">
        <v>228</v>
      </c>
      <c r="E102">
        <v>1</v>
      </c>
      <c r="F102" s="1">
        <v>43556</v>
      </c>
      <c r="G102">
        <v>0.66669999999999996</v>
      </c>
      <c r="H102" t="s">
        <v>227</v>
      </c>
      <c r="I102" s="1">
        <v>43577</v>
      </c>
      <c r="J102" s="1">
        <v>43600</v>
      </c>
      <c r="K102">
        <v>100</v>
      </c>
      <c r="L102">
        <v>23</v>
      </c>
      <c r="M102">
        <v>6</v>
      </c>
      <c r="N102">
        <v>45</v>
      </c>
      <c r="O102">
        <v>0</v>
      </c>
      <c r="P102">
        <v>0</v>
      </c>
      <c r="Q102">
        <v>0</v>
      </c>
      <c r="R102">
        <f>Table1_15[[#This Row],[peak_width_days]]-Table1_15[[#This Row],[time_to_peak_days]]</f>
        <v>17</v>
      </c>
    </row>
    <row r="103" spans="1:18" x14ac:dyDescent="0.3">
      <c r="A103" t="s">
        <v>11</v>
      </c>
      <c r="B103" t="s">
        <v>0</v>
      </c>
      <c r="C103" t="s">
        <v>230</v>
      </c>
      <c r="D103" t="s">
        <v>228</v>
      </c>
      <c r="E103">
        <v>3</v>
      </c>
      <c r="F103" s="1">
        <v>45809</v>
      </c>
      <c r="G103">
        <v>1</v>
      </c>
      <c r="H103" t="s">
        <v>227</v>
      </c>
      <c r="I103" s="1">
        <v>45804</v>
      </c>
      <c r="J103" s="1">
        <v>45839</v>
      </c>
      <c r="K103">
        <v>100</v>
      </c>
      <c r="L103">
        <v>35</v>
      </c>
      <c r="M103">
        <v>5</v>
      </c>
      <c r="N103">
        <v>45</v>
      </c>
      <c r="O103">
        <v>0</v>
      </c>
      <c r="P103">
        <v>0</v>
      </c>
      <c r="Q103">
        <v>0</v>
      </c>
      <c r="R103">
        <f>Table1_15[[#This Row],[peak_width_days]]-Table1_15[[#This Row],[time_to_peak_days]]</f>
        <v>30</v>
      </c>
    </row>
    <row r="104" spans="1:18" x14ac:dyDescent="0.3">
      <c r="A104" t="s">
        <v>10</v>
      </c>
      <c r="B104" t="s">
        <v>0</v>
      </c>
      <c r="C104" t="s">
        <v>231</v>
      </c>
      <c r="D104" t="s">
        <v>228</v>
      </c>
      <c r="E104">
        <v>1</v>
      </c>
      <c r="F104" s="1">
        <v>44743</v>
      </c>
      <c r="G104">
        <v>0.93410000000000004</v>
      </c>
      <c r="H104" t="s">
        <v>227</v>
      </c>
      <c r="I104" s="1">
        <v>44708</v>
      </c>
      <c r="J104" s="1">
        <v>44734</v>
      </c>
      <c r="K104">
        <v>100</v>
      </c>
      <c r="L104">
        <v>26</v>
      </c>
      <c r="M104">
        <v>3</v>
      </c>
      <c r="N104">
        <v>45</v>
      </c>
      <c r="O104">
        <v>0</v>
      </c>
      <c r="P104">
        <v>0</v>
      </c>
      <c r="Q104">
        <v>0</v>
      </c>
      <c r="R104">
        <f>Table1_15[[#This Row],[peak_width_days]]-Table1_15[[#This Row],[time_to_peak_days]]</f>
        <v>23</v>
      </c>
    </row>
    <row r="105" spans="1:18" x14ac:dyDescent="0.3">
      <c r="A105" t="s">
        <v>7</v>
      </c>
      <c r="B105" t="s">
        <v>0</v>
      </c>
      <c r="C105" t="s">
        <v>230</v>
      </c>
      <c r="D105" t="s">
        <v>228</v>
      </c>
      <c r="E105">
        <v>1</v>
      </c>
      <c r="F105" s="1">
        <v>46143</v>
      </c>
      <c r="G105">
        <v>1</v>
      </c>
      <c r="H105" t="s">
        <v>227</v>
      </c>
      <c r="I105" s="1">
        <v>46162</v>
      </c>
      <c r="J105" s="1">
        <v>46172</v>
      </c>
      <c r="K105">
        <v>100</v>
      </c>
      <c r="L105">
        <v>10</v>
      </c>
      <c r="M105">
        <v>2</v>
      </c>
      <c r="N105">
        <v>45</v>
      </c>
      <c r="O105">
        <v>0</v>
      </c>
      <c r="P105">
        <v>0</v>
      </c>
      <c r="Q105">
        <v>0</v>
      </c>
      <c r="R105">
        <f>Table1_15[[#This Row],[peak_width_days]]-Table1_15[[#This Row],[time_to_peak_days]]</f>
        <v>8</v>
      </c>
    </row>
    <row r="106" spans="1:18" x14ac:dyDescent="0.3">
      <c r="A106" t="s">
        <v>5</v>
      </c>
      <c r="B106" t="s">
        <v>0</v>
      </c>
      <c r="C106" t="s">
        <v>231</v>
      </c>
      <c r="D106" t="s">
        <v>228</v>
      </c>
      <c r="E106">
        <v>2</v>
      </c>
      <c r="F106" s="1">
        <v>44562</v>
      </c>
      <c r="G106">
        <v>1</v>
      </c>
      <c r="H106" t="s">
        <v>250</v>
      </c>
      <c r="I106" s="1">
        <v>44561</v>
      </c>
      <c r="J106" s="1">
        <v>44564</v>
      </c>
      <c r="K106">
        <v>100</v>
      </c>
      <c r="L106">
        <v>3</v>
      </c>
      <c r="M106">
        <v>1</v>
      </c>
      <c r="N106">
        <v>45</v>
      </c>
      <c r="O106">
        <v>0</v>
      </c>
      <c r="P106">
        <v>0</v>
      </c>
      <c r="Q106">
        <v>0</v>
      </c>
      <c r="R106">
        <f>Table1_15[[#This Row],[peak_width_days]]-Table1_15[[#This Row],[time_to_peak_days]]</f>
        <v>2</v>
      </c>
    </row>
    <row r="107" spans="1:18" x14ac:dyDescent="0.3">
      <c r="A107" t="s">
        <v>5</v>
      </c>
      <c r="B107" t="s">
        <v>0</v>
      </c>
      <c r="C107" t="s">
        <v>230</v>
      </c>
      <c r="D107" t="s">
        <v>228</v>
      </c>
      <c r="E107">
        <v>3</v>
      </c>
      <c r="F107" s="1">
        <v>45108</v>
      </c>
      <c r="G107">
        <v>0.6</v>
      </c>
      <c r="H107" t="s">
        <v>250</v>
      </c>
      <c r="I107" s="1">
        <v>45094</v>
      </c>
      <c r="J107" s="1">
        <v>45169</v>
      </c>
      <c r="K107">
        <v>100</v>
      </c>
      <c r="L107">
        <v>75</v>
      </c>
      <c r="M107">
        <v>64</v>
      </c>
      <c r="N107">
        <v>90</v>
      </c>
      <c r="O107">
        <v>0</v>
      </c>
      <c r="P107">
        <v>0</v>
      </c>
      <c r="Q107">
        <v>0</v>
      </c>
      <c r="R107">
        <f>Table1_15[[#This Row],[peak_width_days]]-Table1_15[[#This Row],[time_to_peak_days]]</f>
        <v>11</v>
      </c>
    </row>
    <row r="108" spans="1:18" x14ac:dyDescent="0.3">
      <c r="A108" t="s">
        <v>3</v>
      </c>
      <c r="B108" t="s">
        <v>0</v>
      </c>
      <c r="C108" t="s">
        <v>229</v>
      </c>
      <c r="D108" t="s">
        <v>228</v>
      </c>
      <c r="E108">
        <v>1</v>
      </c>
      <c r="F108" s="1">
        <v>42430</v>
      </c>
      <c r="G108">
        <v>1</v>
      </c>
      <c r="H108" t="s">
        <v>227</v>
      </c>
      <c r="I108" s="1">
        <v>42391</v>
      </c>
      <c r="J108" s="1">
        <v>42460</v>
      </c>
      <c r="K108">
        <v>100</v>
      </c>
      <c r="L108">
        <v>69</v>
      </c>
      <c r="M108">
        <v>62</v>
      </c>
      <c r="N108">
        <v>45</v>
      </c>
      <c r="O108">
        <v>0</v>
      </c>
      <c r="P108">
        <v>0</v>
      </c>
      <c r="Q108">
        <v>0</v>
      </c>
      <c r="R108">
        <f>Table1_15[[#This Row],[peak_width_days]]-Table1_15[[#This Row],[time_to_peak_days]]</f>
        <v>7</v>
      </c>
    </row>
    <row r="109" spans="1:18" x14ac:dyDescent="0.3">
      <c r="A109" t="s">
        <v>1</v>
      </c>
      <c r="B109" t="s">
        <v>0</v>
      </c>
      <c r="C109" t="s">
        <v>231</v>
      </c>
      <c r="D109" t="s">
        <v>228</v>
      </c>
      <c r="E109">
        <v>2</v>
      </c>
      <c r="F109" s="1">
        <v>44166</v>
      </c>
      <c r="G109">
        <v>0.84</v>
      </c>
      <c r="H109" t="s">
        <v>227</v>
      </c>
      <c r="I109" s="1">
        <v>44191</v>
      </c>
      <c r="J109" s="1">
        <v>44196</v>
      </c>
      <c r="K109">
        <v>100</v>
      </c>
      <c r="L109">
        <v>5</v>
      </c>
      <c r="M109">
        <v>2</v>
      </c>
      <c r="N109">
        <v>45</v>
      </c>
      <c r="O109">
        <v>0</v>
      </c>
      <c r="P109">
        <v>0</v>
      </c>
      <c r="Q109">
        <v>0</v>
      </c>
      <c r="R109">
        <f>Table1_15[[#This Row],[peak_width_days]]-Table1_15[[#This Row],[time_to_peak_days]]</f>
        <v>3</v>
      </c>
    </row>
    <row r="110" spans="1:18" x14ac:dyDescent="0.3">
      <c r="A110" t="s">
        <v>113</v>
      </c>
      <c r="B110" t="s">
        <v>0</v>
      </c>
      <c r="C110" t="s">
        <v>229</v>
      </c>
      <c r="D110" t="s">
        <v>228</v>
      </c>
      <c r="E110">
        <v>1</v>
      </c>
      <c r="F110" s="1">
        <v>42339</v>
      </c>
      <c r="G110">
        <v>1</v>
      </c>
      <c r="H110" t="s">
        <v>227</v>
      </c>
      <c r="I110" s="1">
        <v>42001</v>
      </c>
      <c r="J110" s="1">
        <v>42694</v>
      </c>
      <c r="K110">
        <v>100</v>
      </c>
      <c r="L110">
        <v>693</v>
      </c>
      <c r="M110">
        <v>343</v>
      </c>
      <c r="N110">
        <v>360</v>
      </c>
      <c r="O110">
        <v>1</v>
      </c>
      <c r="P110">
        <v>1</v>
      </c>
      <c r="Q110">
        <v>1</v>
      </c>
      <c r="R110">
        <f>Table1_15[[#This Row],[peak_width_days]]-Table1_15[[#This Row],[time_to_peak_days]]</f>
        <v>350</v>
      </c>
    </row>
    <row r="111" spans="1:18" x14ac:dyDescent="0.3">
      <c r="A111" t="s">
        <v>112</v>
      </c>
      <c r="B111" t="s">
        <v>0</v>
      </c>
      <c r="C111" t="s">
        <v>229</v>
      </c>
      <c r="D111" t="s">
        <v>228</v>
      </c>
      <c r="E111">
        <v>1</v>
      </c>
      <c r="F111" s="1">
        <v>42339</v>
      </c>
      <c r="G111">
        <v>1</v>
      </c>
      <c r="H111" t="s">
        <v>227</v>
      </c>
      <c r="I111" s="1">
        <v>42001</v>
      </c>
      <c r="J111" s="1">
        <v>42694</v>
      </c>
      <c r="K111">
        <v>100</v>
      </c>
      <c r="L111">
        <v>693</v>
      </c>
      <c r="M111">
        <v>357</v>
      </c>
      <c r="N111">
        <v>360</v>
      </c>
      <c r="O111">
        <v>1</v>
      </c>
      <c r="P111">
        <v>1</v>
      </c>
      <c r="Q111">
        <v>1</v>
      </c>
      <c r="R111">
        <f>Table1_15[[#This Row],[peak_width_days]]-Table1_15[[#This Row],[time_to_peak_days]]</f>
        <v>336</v>
      </c>
    </row>
    <row r="112" spans="1:18" x14ac:dyDescent="0.3">
      <c r="A112" t="s">
        <v>107</v>
      </c>
      <c r="B112" t="s">
        <v>0</v>
      </c>
      <c r="C112" t="s">
        <v>231</v>
      </c>
      <c r="D112" t="s">
        <v>228</v>
      </c>
      <c r="E112">
        <v>1</v>
      </c>
      <c r="F112" s="1">
        <v>44896</v>
      </c>
      <c r="G112">
        <v>1</v>
      </c>
      <c r="H112" t="s">
        <v>227</v>
      </c>
      <c r="I112" s="1">
        <v>44878</v>
      </c>
      <c r="J112" s="1">
        <v>44926</v>
      </c>
      <c r="K112">
        <v>100</v>
      </c>
      <c r="L112">
        <v>48</v>
      </c>
      <c r="M112">
        <v>4</v>
      </c>
      <c r="N112">
        <v>45</v>
      </c>
      <c r="O112">
        <v>1</v>
      </c>
      <c r="P112">
        <v>0</v>
      </c>
      <c r="Q112">
        <v>1</v>
      </c>
      <c r="R112">
        <f>Table1_15[[#This Row],[peak_width_days]]-Table1_15[[#This Row],[time_to_peak_days]]</f>
        <v>44</v>
      </c>
    </row>
    <row r="113" spans="1:18" x14ac:dyDescent="0.3">
      <c r="A113" t="s">
        <v>107</v>
      </c>
      <c r="B113" t="s">
        <v>0</v>
      </c>
      <c r="C113" t="s">
        <v>230</v>
      </c>
      <c r="D113" t="s">
        <v>228</v>
      </c>
      <c r="E113">
        <v>2</v>
      </c>
      <c r="F113" s="1">
        <v>44927</v>
      </c>
      <c r="G113">
        <v>0.57140000000000002</v>
      </c>
      <c r="H113" t="s">
        <v>227</v>
      </c>
      <c r="I113" s="1">
        <v>44927</v>
      </c>
      <c r="J113" s="1">
        <v>44972</v>
      </c>
      <c r="K113">
        <v>100</v>
      </c>
      <c r="L113">
        <v>45</v>
      </c>
      <c r="M113">
        <v>5</v>
      </c>
      <c r="N113">
        <v>45</v>
      </c>
      <c r="O113">
        <v>1</v>
      </c>
      <c r="P113">
        <v>0</v>
      </c>
      <c r="Q113">
        <v>1</v>
      </c>
      <c r="R113">
        <f>Table1_15[[#This Row],[peak_width_days]]-Table1_15[[#This Row],[time_to_peak_days]]</f>
        <v>40</v>
      </c>
    </row>
    <row r="114" spans="1:18" x14ac:dyDescent="0.3">
      <c r="A114" t="s">
        <v>102</v>
      </c>
      <c r="B114" t="s">
        <v>0</v>
      </c>
      <c r="C114" t="s">
        <v>231</v>
      </c>
      <c r="D114" t="s">
        <v>228</v>
      </c>
      <c r="E114">
        <v>2</v>
      </c>
      <c r="F114" s="1">
        <v>43831</v>
      </c>
      <c r="G114">
        <v>0.8</v>
      </c>
      <c r="H114" t="s">
        <v>227</v>
      </c>
      <c r="I114" s="1">
        <v>43831</v>
      </c>
      <c r="J114" s="1">
        <v>43839</v>
      </c>
      <c r="K114">
        <v>100</v>
      </c>
      <c r="L114">
        <v>8</v>
      </c>
      <c r="M114">
        <v>6</v>
      </c>
      <c r="N114">
        <v>45</v>
      </c>
      <c r="O114">
        <v>1</v>
      </c>
      <c r="P114">
        <v>0</v>
      </c>
      <c r="Q114">
        <v>1</v>
      </c>
      <c r="R114">
        <f>Table1_15[[#This Row],[peak_width_days]]-Table1_15[[#This Row],[time_to_peak_days]]</f>
        <v>2</v>
      </c>
    </row>
    <row r="115" spans="1:18" x14ac:dyDescent="0.3">
      <c r="A115" t="s">
        <v>101</v>
      </c>
      <c r="B115" t="s">
        <v>0</v>
      </c>
      <c r="C115" t="s">
        <v>229</v>
      </c>
      <c r="D115" t="s">
        <v>228</v>
      </c>
      <c r="E115">
        <v>1</v>
      </c>
      <c r="F115" s="1">
        <v>43739</v>
      </c>
      <c r="G115">
        <v>0.55000000000000004</v>
      </c>
      <c r="H115" t="s">
        <v>227</v>
      </c>
      <c r="I115" s="1">
        <v>43625</v>
      </c>
      <c r="J115" s="1">
        <v>43828</v>
      </c>
      <c r="K115">
        <v>100</v>
      </c>
      <c r="L115">
        <v>203</v>
      </c>
      <c r="M115">
        <v>126</v>
      </c>
      <c r="N115">
        <v>180</v>
      </c>
      <c r="O115">
        <v>1</v>
      </c>
      <c r="P115">
        <v>1</v>
      </c>
      <c r="Q115">
        <v>1</v>
      </c>
      <c r="R115">
        <f>Table1_15[[#This Row],[peak_width_days]]-Table1_15[[#This Row],[time_to_peak_days]]</f>
        <v>77</v>
      </c>
    </row>
    <row r="116" spans="1:18" x14ac:dyDescent="0.3">
      <c r="A116" t="s">
        <v>101</v>
      </c>
      <c r="B116" t="s">
        <v>0</v>
      </c>
      <c r="C116" t="s">
        <v>231</v>
      </c>
      <c r="D116" t="s">
        <v>228</v>
      </c>
      <c r="E116">
        <v>2</v>
      </c>
      <c r="F116" s="1">
        <v>43891</v>
      </c>
      <c r="G116">
        <v>1</v>
      </c>
      <c r="H116" t="s">
        <v>227</v>
      </c>
      <c r="I116" s="1">
        <v>43831</v>
      </c>
      <c r="J116" s="1">
        <v>43981</v>
      </c>
      <c r="K116">
        <v>100</v>
      </c>
      <c r="L116">
        <v>150</v>
      </c>
      <c r="M116">
        <v>71</v>
      </c>
      <c r="N116">
        <v>90</v>
      </c>
      <c r="O116">
        <v>1</v>
      </c>
      <c r="P116">
        <v>0</v>
      </c>
      <c r="Q116">
        <v>1</v>
      </c>
      <c r="R116">
        <f>Table1_15[[#This Row],[peak_width_days]]-Table1_15[[#This Row],[time_to_peak_days]]</f>
        <v>79</v>
      </c>
    </row>
    <row r="117" spans="1:18" x14ac:dyDescent="0.3">
      <c r="A117" t="s">
        <v>100</v>
      </c>
      <c r="B117" t="s">
        <v>0</v>
      </c>
      <c r="C117" t="s">
        <v>231</v>
      </c>
      <c r="D117" t="s">
        <v>228</v>
      </c>
      <c r="E117">
        <v>1</v>
      </c>
      <c r="F117" s="1">
        <v>44256</v>
      </c>
      <c r="G117">
        <v>1</v>
      </c>
      <c r="H117" t="s">
        <v>227</v>
      </c>
      <c r="I117" s="1">
        <v>43968</v>
      </c>
      <c r="J117" s="1">
        <v>44920</v>
      </c>
      <c r="K117">
        <v>100</v>
      </c>
      <c r="L117">
        <v>952</v>
      </c>
      <c r="M117">
        <v>294</v>
      </c>
      <c r="N117">
        <v>720</v>
      </c>
      <c r="O117">
        <v>1</v>
      </c>
      <c r="P117">
        <v>1</v>
      </c>
      <c r="Q117">
        <v>1</v>
      </c>
      <c r="R117">
        <f>Table1_15[[#This Row],[peak_width_days]]-Table1_15[[#This Row],[time_to_peak_days]]</f>
        <v>658</v>
      </c>
    </row>
    <row r="118" spans="1:18" x14ac:dyDescent="0.3">
      <c r="A118" t="s">
        <v>99</v>
      </c>
      <c r="B118" t="s">
        <v>0</v>
      </c>
      <c r="C118" t="s">
        <v>230</v>
      </c>
      <c r="D118" t="s">
        <v>228</v>
      </c>
      <c r="E118">
        <v>3</v>
      </c>
      <c r="F118" s="1">
        <v>44927</v>
      </c>
      <c r="G118">
        <v>1</v>
      </c>
      <c r="H118" t="s">
        <v>227</v>
      </c>
      <c r="I118" s="1">
        <v>44927</v>
      </c>
      <c r="J118" s="1">
        <v>44956</v>
      </c>
      <c r="K118">
        <v>100</v>
      </c>
      <c r="L118">
        <v>29</v>
      </c>
      <c r="M118">
        <v>4</v>
      </c>
      <c r="N118">
        <v>45</v>
      </c>
      <c r="O118">
        <v>1</v>
      </c>
      <c r="P118">
        <v>0</v>
      </c>
      <c r="Q118">
        <v>1</v>
      </c>
      <c r="R118">
        <f>Table1_15[[#This Row],[peak_width_days]]-Table1_15[[#This Row],[time_to_peak_days]]</f>
        <v>25</v>
      </c>
    </row>
    <row r="119" spans="1:18" x14ac:dyDescent="0.3">
      <c r="A119" t="s">
        <v>98</v>
      </c>
      <c r="B119" t="s">
        <v>0</v>
      </c>
      <c r="C119" t="s">
        <v>229</v>
      </c>
      <c r="D119" t="s">
        <v>228</v>
      </c>
      <c r="E119">
        <v>1</v>
      </c>
      <c r="F119" s="1">
        <v>43466</v>
      </c>
      <c r="G119">
        <v>1</v>
      </c>
      <c r="H119" t="s">
        <v>227</v>
      </c>
      <c r="I119" s="1">
        <v>43387</v>
      </c>
      <c r="J119" s="1">
        <v>43828</v>
      </c>
      <c r="K119">
        <v>100</v>
      </c>
      <c r="L119">
        <v>441</v>
      </c>
      <c r="M119">
        <v>77</v>
      </c>
      <c r="N119">
        <v>720</v>
      </c>
      <c r="O119">
        <v>1</v>
      </c>
      <c r="P119">
        <v>1</v>
      </c>
      <c r="Q119">
        <v>1</v>
      </c>
      <c r="R119">
        <f>Table1_15[[#This Row],[peak_width_days]]-Table1_15[[#This Row],[time_to_peak_days]]</f>
        <v>364</v>
      </c>
    </row>
    <row r="120" spans="1:18" x14ac:dyDescent="0.3">
      <c r="A120" t="s">
        <v>98</v>
      </c>
      <c r="B120" t="s">
        <v>0</v>
      </c>
      <c r="C120" t="s">
        <v>231</v>
      </c>
      <c r="D120" t="s">
        <v>228</v>
      </c>
      <c r="E120">
        <v>2</v>
      </c>
      <c r="F120" s="1">
        <v>43922</v>
      </c>
      <c r="G120">
        <v>1</v>
      </c>
      <c r="H120" t="s">
        <v>227</v>
      </c>
      <c r="I120" s="1">
        <v>43828</v>
      </c>
      <c r="J120" s="1">
        <v>44101</v>
      </c>
      <c r="K120">
        <v>100</v>
      </c>
      <c r="L120">
        <v>273</v>
      </c>
      <c r="M120">
        <v>91</v>
      </c>
      <c r="N120">
        <v>180</v>
      </c>
      <c r="O120">
        <v>1</v>
      </c>
      <c r="P120">
        <v>1</v>
      </c>
      <c r="Q120">
        <v>1</v>
      </c>
      <c r="R120">
        <f>Table1_15[[#This Row],[peak_width_days]]-Table1_15[[#This Row],[time_to_peak_days]]</f>
        <v>182</v>
      </c>
    </row>
    <row r="121" spans="1:18" x14ac:dyDescent="0.3">
      <c r="A121" t="s">
        <v>97</v>
      </c>
      <c r="B121" t="s">
        <v>0</v>
      </c>
      <c r="C121" t="s">
        <v>229</v>
      </c>
      <c r="D121" t="s">
        <v>228</v>
      </c>
      <c r="E121">
        <v>1</v>
      </c>
      <c r="F121" s="1">
        <v>42248</v>
      </c>
      <c r="G121">
        <v>1</v>
      </c>
      <c r="H121" t="s">
        <v>227</v>
      </c>
      <c r="I121" s="1">
        <v>42001</v>
      </c>
      <c r="J121" s="1">
        <v>42603</v>
      </c>
      <c r="K121">
        <v>100</v>
      </c>
      <c r="L121">
        <v>602</v>
      </c>
      <c r="M121">
        <v>77</v>
      </c>
      <c r="N121">
        <v>360</v>
      </c>
      <c r="O121">
        <v>1</v>
      </c>
      <c r="P121">
        <v>1</v>
      </c>
      <c r="Q121">
        <v>1</v>
      </c>
      <c r="R121">
        <f>Table1_15[[#This Row],[peak_width_days]]-Table1_15[[#This Row],[time_to_peak_days]]</f>
        <v>525</v>
      </c>
    </row>
    <row r="122" spans="1:18" x14ac:dyDescent="0.3">
      <c r="A122" t="s">
        <v>97</v>
      </c>
      <c r="B122" t="s">
        <v>0</v>
      </c>
      <c r="C122" t="s">
        <v>231</v>
      </c>
      <c r="D122" t="s">
        <v>228</v>
      </c>
      <c r="E122">
        <v>2</v>
      </c>
      <c r="F122" s="1">
        <v>43831</v>
      </c>
      <c r="G122">
        <v>0.93</v>
      </c>
      <c r="H122" t="s">
        <v>227</v>
      </c>
      <c r="I122" s="1">
        <v>43831</v>
      </c>
      <c r="J122" s="1">
        <v>43876</v>
      </c>
      <c r="K122">
        <v>100</v>
      </c>
      <c r="L122">
        <v>45</v>
      </c>
      <c r="M122">
        <v>8</v>
      </c>
      <c r="N122">
        <v>45</v>
      </c>
      <c r="O122">
        <v>1</v>
      </c>
      <c r="P122">
        <v>0</v>
      </c>
      <c r="Q122">
        <v>1</v>
      </c>
      <c r="R122">
        <f>Table1_15[[#This Row],[peak_width_days]]-Table1_15[[#This Row],[time_to_peak_days]]</f>
        <v>37</v>
      </c>
    </row>
    <row r="123" spans="1:18" x14ac:dyDescent="0.3">
      <c r="A123" t="s">
        <v>97</v>
      </c>
      <c r="B123" t="s">
        <v>0</v>
      </c>
      <c r="C123" t="s">
        <v>230</v>
      </c>
      <c r="D123" t="s">
        <v>228</v>
      </c>
      <c r="E123">
        <v>3</v>
      </c>
      <c r="F123" s="1">
        <v>46054</v>
      </c>
      <c r="G123">
        <v>0.95</v>
      </c>
      <c r="H123" t="s">
        <v>227</v>
      </c>
      <c r="I123" s="1">
        <v>45690</v>
      </c>
      <c r="J123" s="1">
        <v>46278</v>
      </c>
      <c r="K123">
        <v>100</v>
      </c>
      <c r="L123">
        <v>588</v>
      </c>
      <c r="M123">
        <v>378</v>
      </c>
      <c r="N123">
        <v>360</v>
      </c>
      <c r="O123">
        <v>1</v>
      </c>
      <c r="P123">
        <v>1</v>
      </c>
      <c r="Q123">
        <v>1</v>
      </c>
      <c r="R123">
        <f>Table1_15[[#This Row],[peak_width_days]]-Table1_15[[#This Row],[time_to_peak_days]]</f>
        <v>210</v>
      </c>
    </row>
    <row r="124" spans="1:18" x14ac:dyDescent="0.3">
      <c r="A124" t="s">
        <v>96</v>
      </c>
      <c r="B124" t="s">
        <v>0</v>
      </c>
      <c r="C124" t="s">
        <v>229</v>
      </c>
      <c r="D124" t="s">
        <v>228</v>
      </c>
      <c r="E124">
        <v>1</v>
      </c>
      <c r="F124" s="1">
        <v>42005</v>
      </c>
      <c r="G124">
        <v>1</v>
      </c>
      <c r="H124" t="s">
        <v>227</v>
      </c>
      <c r="I124" s="1">
        <v>42005</v>
      </c>
      <c r="J124" s="1">
        <v>42050</v>
      </c>
      <c r="K124">
        <v>100</v>
      </c>
      <c r="L124">
        <v>45</v>
      </c>
      <c r="M124">
        <v>10</v>
      </c>
      <c r="N124">
        <v>45</v>
      </c>
      <c r="O124">
        <v>1</v>
      </c>
      <c r="P124">
        <v>0</v>
      </c>
      <c r="Q124">
        <v>1</v>
      </c>
      <c r="R124">
        <f>Table1_15[[#This Row],[peak_width_days]]-Table1_15[[#This Row],[time_to_peak_days]]</f>
        <v>35</v>
      </c>
    </row>
    <row r="125" spans="1:18" x14ac:dyDescent="0.3">
      <c r="A125" t="s">
        <v>94</v>
      </c>
      <c r="B125" t="s">
        <v>0</v>
      </c>
      <c r="C125" t="s">
        <v>229</v>
      </c>
      <c r="D125" t="s">
        <v>228</v>
      </c>
      <c r="E125">
        <v>1</v>
      </c>
      <c r="F125" s="1">
        <v>42036</v>
      </c>
      <c r="G125">
        <v>1</v>
      </c>
      <c r="H125" t="s">
        <v>227</v>
      </c>
      <c r="I125" s="1">
        <v>42005</v>
      </c>
      <c r="J125" s="1">
        <v>42081</v>
      </c>
      <c r="K125">
        <v>100</v>
      </c>
      <c r="L125">
        <v>76</v>
      </c>
      <c r="M125">
        <v>29</v>
      </c>
      <c r="N125">
        <v>45</v>
      </c>
      <c r="O125">
        <v>1</v>
      </c>
      <c r="P125">
        <v>0</v>
      </c>
      <c r="Q125">
        <v>1</v>
      </c>
      <c r="R125">
        <f>Table1_15[[#This Row],[peak_width_days]]-Table1_15[[#This Row],[time_to_peak_days]]</f>
        <v>47</v>
      </c>
    </row>
    <row r="126" spans="1:18" x14ac:dyDescent="0.3">
      <c r="A126" t="s">
        <v>94</v>
      </c>
      <c r="B126" t="s">
        <v>0</v>
      </c>
      <c r="C126" t="s">
        <v>231</v>
      </c>
      <c r="D126" t="s">
        <v>228</v>
      </c>
      <c r="E126">
        <v>2</v>
      </c>
      <c r="F126" s="1">
        <v>43983</v>
      </c>
      <c r="G126">
        <v>0.75</v>
      </c>
      <c r="H126" t="s">
        <v>227</v>
      </c>
      <c r="I126" s="1">
        <v>43828</v>
      </c>
      <c r="J126" s="1">
        <v>44157</v>
      </c>
      <c r="K126">
        <v>100</v>
      </c>
      <c r="L126">
        <v>329</v>
      </c>
      <c r="M126">
        <v>105</v>
      </c>
      <c r="N126">
        <v>180</v>
      </c>
      <c r="O126">
        <v>1</v>
      </c>
      <c r="P126">
        <v>1</v>
      </c>
      <c r="Q126">
        <v>1</v>
      </c>
      <c r="R126">
        <f>Table1_15[[#This Row],[peak_width_days]]-Table1_15[[#This Row],[time_to_peak_days]]</f>
        <v>224</v>
      </c>
    </row>
    <row r="127" spans="1:18" x14ac:dyDescent="0.3">
      <c r="A127" t="s">
        <v>94</v>
      </c>
      <c r="B127" t="s">
        <v>0</v>
      </c>
      <c r="C127" t="s">
        <v>230</v>
      </c>
      <c r="D127" t="s">
        <v>228</v>
      </c>
      <c r="E127">
        <v>3</v>
      </c>
      <c r="F127" s="1">
        <v>45901</v>
      </c>
      <c r="G127">
        <v>1</v>
      </c>
      <c r="H127" t="s">
        <v>227</v>
      </c>
      <c r="I127" s="1">
        <v>45179</v>
      </c>
      <c r="J127" s="1">
        <v>46278</v>
      </c>
      <c r="K127">
        <v>100</v>
      </c>
      <c r="L127">
        <v>1099</v>
      </c>
      <c r="M127">
        <v>945</v>
      </c>
      <c r="N127">
        <v>720</v>
      </c>
      <c r="O127">
        <v>1</v>
      </c>
      <c r="P127">
        <v>1</v>
      </c>
      <c r="Q127">
        <v>1</v>
      </c>
      <c r="R127">
        <f>Table1_15[[#This Row],[peak_width_days]]-Table1_15[[#This Row],[time_to_peak_days]]</f>
        <v>154</v>
      </c>
    </row>
    <row r="128" spans="1:18" x14ac:dyDescent="0.3">
      <c r="A128" t="s">
        <v>91</v>
      </c>
      <c r="B128" t="s">
        <v>0</v>
      </c>
      <c r="C128" t="s">
        <v>229</v>
      </c>
      <c r="D128" t="s">
        <v>228</v>
      </c>
      <c r="E128">
        <v>1</v>
      </c>
      <c r="F128" s="1">
        <v>42217</v>
      </c>
      <c r="G128">
        <v>1</v>
      </c>
      <c r="H128" t="s">
        <v>227</v>
      </c>
      <c r="I128" s="1">
        <v>42001</v>
      </c>
      <c r="J128" s="1">
        <v>42575</v>
      </c>
      <c r="K128">
        <v>100</v>
      </c>
      <c r="L128">
        <v>574</v>
      </c>
      <c r="M128">
        <v>315</v>
      </c>
      <c r="N128">
        <v>360</v>
      </c>
      <c r="O128">
        <v>1</v>
      </c>
      <c r="P128">
        <v>1</v>
      </c>
      <c r="Q128">
        <v>1</v>
      </c>
      <c r="R128">
        <f>Table1_15[[#This Row],[peak_width_days]]-Table1_15[[#This Row],[time_to_peak_days]]</f>
        <v>259</v>
      </c>
    </row>
    <row r="129" spans="1:18" x14ac:dyDescent="0.3">
      <c r="A129" t="s">
        <v>88</v>
      </c>
      <c r="B129" t="s">
        <v>0</v>
      </c>
      <c r="C129" t="s">
        <v>229</v>
      </c>
      <c r="D129" t="s">
        <v>228</v>
      </c>
      <c r="E129">
        <v>1</v>
      </c>
      <c r="F129" s="1">
        <v>43101</v>
      </c>
      <c r="G129">
        <v>1</v>
      </c>
      <c r="H129" t="s">
        <v>227</v>
      </c>
      <c r="I129" s="1">
        <v>42813</v>
      </c>
      <c r="J129" s="1">
        <v>43828</v>
      </c>
      <c r="K129">
        <v>100</v>
      </c>
      <c r="L129">
        <v>1015</v>
      </c>
      <c r="M129">
        <v>301</v>
      </c>
      <c r="N129">
        <v>1440</v>
      </c>
      <c r="O129">
        <v>1</v>
      </c>
      <c r="P129">
        <v>1</v>
      </c>
      <c r="Q129">
        <v>1</v>
      </c>
      <c r="R129">
        <f>Table1_15[[#This Row],[peak_width_days]]-Table1_15[[#This Row],[time_to_peak_days]]</f>
        <v>714</v>
      </c>
    </row>
    <row r="130" spans="1:18" x14ac:dyDescent="0.3">
      <c r="A130" t="s">
        <v>86</v>
      </c>
      <c r="B130" t="s">
        <v>0</v>
      </c>
      <c r="C130" t="s">
        <v>229</v>
      </c>
      <c r="D130" t="s">
        <v>228</v>
      </c>
      <c r="E130">
        <v>1</v>
      </c>
      <c r="F130" s="1">
        <v>42064</v>
      </c>
      <c r="G130">
        <v>1</v>
      </c>
      <c r="H130" t="s">
        <v>227</v>
      </c>
      <c r="I130" s="1">
        <v>42005</v>
      </c>
      <c r="J130" s="1">
        <v>42154</v>
      </c>
      <c r="K130">
        <v>100</v>
      </c>
      <c r="L130">
        <v>149</v>
      </c>
      <c r="M130">
        <v>45</v>
      </c>
      <c r="N130">
        <v>90</v>
      </c>
      <c r="O130">
        <v>1</v>
      </c>
      <c r="P130">
        <v>0</v>
      </c>
      <c r="Q130">
        <v>1</v>
      </c>
      <c r="R130">
        <f>Table1_15[[#This Row],[peak_width_days]]-Table1_15[[#This Row],[time_to_peak_days]]</f>
        <v>104</v>
      </c>
    </row>
    <row r="131" spans="1:18" x14ac:dyDescent="0.3">
      <c r="A131" t="s">
        <v>71</v>
      </c>
      <c r="B131" t="s">
        <v>0</v>
      </c>
      <c r="C131" t="s">
        <v>229</v>
      </c>
      <c r="D131" t="s">
        <v>228</v>
      </c>
      <c r="E131">
        <v>1</v>
      </c>
      <c r="F131" s="1">
        <v>42036</v>
      </c>
      <c r="G131">
        <v>0.58330000000000004</v>
      </c>
      <c r="H131" t="s">
        <v>227</v>
      </c>
      <c r="I131" s="1">
        <v>42005</v>
      </c>
      <c r="J131" s="1">
        <v>42081</v>
      </c>
      <c r="K131">
        <v>100</v>
      </c>
      <c r="L131">
        <v>76</v>
      </c>
      <c r="M131">
        <v>35</v>
      </c>
      <c r="N131">
        <v>45</v>
      </c>
      <c r="O131">
        <v>1</v>
      </c>
      <c r="P131">
        <v>0</v>
      </c>
      <c r="Q131">
        <v>1</v>
      </c>
      <c r="R131">
        <f>Table1_15[[#This Row],[peak_width_days]]-Table1_15[[#This Row],[time_to_peak_days]]</f>
        <v>41</v>
      </c>
    </row>
    <row r="132" spans="1:18" x14ac:dyDescent="0.3">
      <c r="A132" t="s">
        <v>71</v>
      </c>
      <c r="B132" t="s">
        <v>0</v>
      </c>
      <c r="C132" t="s">
        <v>230</v>
      </c>
      <c r="D132" t="s">
        <v>228</v>
      </c>
      <c r="E132">
        <v>3</v>
      </c>
      <c r="F132" s="1">
        <v>46113</v>
      </c>
      <c r="G132">
        <v>1</v>
      </c>
      <c r="H132" t="s">
        <v>227</v>
      </c>
      <c r="I132" s="1">
        <v>45928</v>
      </c>
      <c r="J132" s="1">
        <v>46278</v>
      </c>
      <c r="K132">
        <v>100</v>
      </c>
      <c r="L132">
        <v>350</v>
      </c>
      <c r="M132">
        <v>196</v>
      </c>
      <c r="N132">
        <v>180</v>
      </c>
      <c r="O132">
        <v>1</v>
      </c>
      <c r="P132">
        <v>1</v>
      </c>
      <c r="Q132">
        <v>1</v>
      </c>
      <c r="R132">
        <f>Table1_15[[#This Row],[peak_width_days]]-Table1_15[[#This Row],[time_to_peak_days]]</f>
        <v>154</v>
      </c>
    </row>
    <row r="133" spans="1:18" x14ac:dyDescent="0.3">
      <c r="A133" t="s">
        <v>41</v>
      </c>
      <c r="B133" t="s">
        <v>0</v>
      </c>
      <c r="C133" t="s">
        <v>229</v>
      </c>
      <c r="D133" t="s">
        <v>228</v>
      </c>
      <c r="E133">
        <v>1</v>
      </c>
      <c r="F133" s="1">
        <v>43709</v>
      </c>
      <c r="G133">
        <v>1</v>
      </c>
      <c r="H133" t="s">
        <v>227</v>
      </c>
      <c r="I133" s="1">
        <v>43590</v>
      </c>
      <c r="J133" s="1">
        <v>43828</v>
      </c>
      <c r="K133">
        <v>100</v>
      </c>
      <c r="L133">
        <v>238</v>
      </c>
      <c r="M133">
        <v>126</v>
      </c>
      <c r="N133">
        <v>180</v>
      </c>
      <c r="O133">
        <v>1</v>
      </c>
      <c r="P133">
        <v>1</v>
      </c>
      <c r="Q133">
        <v>1</v>
      </c>
      <c r="R133">
        <f>Table1_15[[#This Row],[peak_width_days]]-Table1_15[[#This Row],[time_to_peak_days]]</f>
        <v>112</v>
      </c>
    </row>
    <row r="134" spans="1:18" x14ac:dyDescent="0.3">
      <c r="A134" t="s">
        <v>56</v>
      </c>
      <c r="B134" t="s">
        <v>0</v>
      </c>
      <c r="C134" t="s">
        <v>231</v>
      </c>
      <c r="D134" t="s">
        <v>228</v>
      </c>
      <c r="E134">
        <v>1</v>
      </c>
      <c r="F134" s="1">
        <v>44287</v>
      </c>
      <c r="G134">
        <v>0.5</v>
      </c>
      <c r="H134" t="s">
        <v>227</v>
      </c>
      <c r="I134" s="1">
        <v>44199</v>
      </c>
      <c r="J134" s="1">
        <v>44920</v>
      </c>
      <c r="K134">
        <v>100</v>
      </c>
      <c r="L134">
        <v>721</v>
      </c>
      <c r="M134">
        <v>98</v>
      </c>
      <c r="N134">
        <v>720</v>
      </c>
      <c r="O134">
        <v>1</v>
      </c>
      <c r="P134">
        <v>1</v>
      </c>
      <c r="Q134">
        <v>1</v>
      </c>
      <c r="R134">
        <f>Table1_15[[#This Row],[peak_width_days]]-Table1_15[[#This Row],[time_to_peak_days]]</f>
        <v>623</v>
      </c>
    </row>
    <row r="135" spans="1:18" x14ac:dyDescent="0.3">
      <c r="A135" t="s">
        <v>33</v>
      </c>
      <c r="B135" t="s">
        <v>0</v>
      </c>
      <c r="C135" t="s">
        <v>230</v>
      </c>
      <c r="D135" t="s">
        <v>228</v>
      </c>
      <c r="E135">
        <v>1</v>
      </c>
      <c r="F135" s="1">
        <v>45170</v>
      </c>
      <c r="G135">
        <v>1</v>
      </c>
      <c r="H135" t="s">
        <v>227</v>
      </c>
      <c r="I135" s="1">
        <v>45046</v>
      </c>
      <c r="J135" s="1">
        <v>46271</v>
      </c>
      <c r="K135">
        <v>100</v>
      </c>
      <c r="L135">
        <v>1225</v>
      </c>
      <c r="M135">
        <v>875</v>
      </c>
      <c r="N135">
        <v>1440</v>
      </c>
      <c r="O135">
        <v>1</v>
      </c>
      <c r="P135">
        <v>1</v>
      </c>
      <c r="Q135">
        <v>1</v>
      </c>
      <c r="R135">
        <f>Table1_15[[#This Row],[peak_width_days]]-Table1_15[[#This Row],[time_to_peak_days]]</f>
        <v>350</v>
      </c>
    </row>
    <row r="136" spans="1:18" x14ac:dyDescent="0.3">
      <c r="A136" t="s">
        <v>53</v>
      </c>
      <c r="B136" t="s">
        <v>0</v>
      </c>
      <c r="C136" t="s">
        <v>229</v>
      </c>
      <c r="D136" t="s">
        <v>228</v>
      </c>
      <c r="E136">
        <v>1</v>
      </c>
      <c r="F136" s="1">
        <v>43770</v>
      </c>
      <c r="G136">
        <v>0.87</v>
      </c>
      <c r="H136" t="s">
        <v>227</v>
      </c>
      <c r="I136" s="1">
        <v>43680</v>
      </c>
      <c r="J136" s="1">
        <v>43830</v>
      </c>
      <c r="K136">
        <v>100</v>
      </c>
      <c r="L136">
        <v>150</v>
      </c>
      <c r="M136">
        <v>120</v>
      </c>
      <c r="N136">
        <v>90</v>
      </c>
      <c r="O136">
        <v>1</v>
      </c>
      <c r="P136">
        <v>0</v>
      </c>
      <c r="Q136">
        <v>1</v>
      </c>
      <c r="R136">
        <f>Table1_15[[#This Row],[peak_width_days]]-Table1_15[[#This Row],[time_to_peak_days]]</f>
        <v>30</v>
      </c>
    </row>
    <row r="137" spans="1:18" x14ac:dyDescent="0.3">
      <c r="A137" t="s">
        <v>53</v>
      </c>
      <c r="B137" t="s">
        <v>0</v>
      </c>
      <c r="C137" t="s">
        <v>231</v>
      </c>
      <c r="D137" t="s">
        <v>228</v>
      </c>
      <c r="E137">
        <v>2</v>
      </c>
      <c r="F137" s="1">
        <v>44136</v>
      </c>
      <c r="G137">
        <v>0.92</v>
      </c>
      <c r="H137" t="s">
        <v>227</v>
      </c>
      <c r="I137" s="1">
        <v>43828</v>
      </c>
      <c r="J137" s="1">
        <v>44493</v>
      </c>
      <c r="K137">
        <v>100</v>
      </c>
      <c r="L137">
        <v>665</v>
      </c>
      <c r="M137">
        <v>329</v>
      </c>
      <c r="N137">
        <v>360</v>
      </c>
      <c r="O137">
        <v>1</v>
      </c>
      <c r="P137">
        <v>1</v>
      </c>
      <c r="Q137">
        <v>1</v>
      </c>
      <c r="R137">
        <f>Table1_15[[#This Row],[peak_width_days]]-Table1_15[[#This Row],[time_to_peak_days]]</f>
        <v>336</v>
      </c>
    </row>
    <row r="138" spans="1:18" x14ac:dyDescent="0.3">
      <c r="A138" t="s">
        <v>53</v>
      </c>
      <c r="B138" t="s">
        <v>0</v>
      </c>
      <c r="C138" t="s">
        <v>230</v>
      </c>
      <c r="D138" t="s">
        <v>228</v>
      </c>
      <c r="E138">
        <v>3</v>
      </c>
      <c r="F138" s="1">
        <v>45200</v>
      </c>
      <c r="G138">
        <v>1</v>
      </c>
      <c r="H138" t="s">
        <v>227</v>
      </c>
      <c r="I138" s="1">
        <v>44927</v>
      </c>
      <c r="J138" s="1">
        <v>45557</v>
      </c>
      <c r="K138">
        <v>100</v>
      </c>
      <c r="L138">
        <v>630</v>
      </c>
      <c r="M138">
        <v>273</v>
      </c>
      <c r="N138">
        <v>360</v>
      </c>
      <c r="O138">
        <v>1</v>
      </c>
      <c r="P138">
        <v>1</v>
      </c>
      <c r="Q138">
        <v>1</v>
      </c>
      <c r="R138">
        <f>Table1_15[[#This Row],[peak_width_days]]-Table1_15[[#This Row],[time_to_peak_days]]</f>
        <v>357</v>
      </c>
    </row>
    <row r="139" spans="1:18" x14ac:dyDescent="0.3">
      <c r="A139" t="s">
        <v>52</v>
      </c>
      <c r="B139" t="s">
        <v>0</v>
      </c>
      <c r="C139" t="s">
        <v>229</v>
      </c>
      <c r="D139" t="s">
        <v>228</v>
      </c>
      <c r="E139">
        <v>1</v>
      </c>
      <c r="F139" s="1">
        <v>43282</v>
      </c>
      <c r="G139">
        <v>0.57889999999999997</v>
      </c>
      <c r="H139" t="s">
        <v>227</v>
      </c>
      <c r="I139" s="1">
        <v>42561</v>
      </c>
      <c r="J139" s="1">
        <v>43828</v>
      </c>
      <c r="K139">
        <v>100</v>
      </c>
      <c r="L139">
        <v>1267</v>
      </c>
      <c r="M139">
        <v>1267</v>
      </c>
      <c r="N139">
        <v>720</v>
      </c>
      <c r="O139">
        <v>1</v>
      </c>
      <c r="P139">
        <v>1</v>
      </c>
      <c r="Q139">
        <v>1</v>
      </c>
      <c r="R139">
        <f>Table1_15[[#This Row],[peak_width_days]]-Table1_15[[#This Row],[time_to_peak_days]]</f>
        <v>0</v>
      </c>
    </row>
    <row r="140" spans="1:18" x14ac:dyDescent="0.3">
      <c r="A140" t="s">
        <v>52</v>
      </c>
      <c r="B140" t="s">
        <v>0</v>
      </c>
      <c r="C140" t="s">
        <v>231</v>
      </c>
      <c r="D140" t="s">
        <v>228</v>
      </c>
      <c r="E140">
        <v>2</v>
      </c>
      <c r="F140" s="1">
        <v>44013</v>
      </c>
      <c r="G140">
        <v>0.89470000000000005</v>
      </c>
      <c r="H140" t="s">
        <v>227</v>
      </c>
      <c r="I140" s="1">
        <v>43828</v>
      </c>
      <c r="J140" s="1">
        <v>44367</v>
      </c>
      <c r="K140">
        <v>100</v>
      </c>
      <c r="L140">
        <v>539</v>
      </c>
      <c r="M140">
        <v>343</v>
      </c>
      <c r="N140">
        <v>360</v>
      </c>
      <c r="O140">
        <v>1</v>
      </c>
      <c r="P140">
        <v>1</v>
      </c>
      <c r="Q140">
        <v>1</v>
      </c>
      <c r="R140">
        <f>Table1_15[[#This Row],[peak_width_days]]-Table1_15[[#This Row],[time_to_peak_days]]</f>
        <v>196</v>
      </c>
    </row>
    <row r="141" spans="1:18" x14ac:dyDescent="0.3">
      <c r="A141" t="s">
        <v>52</v>
      </c>
      <c r="B141" t="s">
        <v>0</v>
      </c>
      <c r="C141" t="s">
        <v>230</v>
      </c>
      <c r="D141" t="s">
        <v>228</v>
      </c>
      <c r="E141">
        <v>3</v>
      </c>
      <c r="F141" s="1">
        <v>46113</v>
      </c>
      <c r="G141">
        <v>1</v>
      </c>
      <c r="H141" t="s">
        <v>227</v>
      </c>
      <c r="I141" s="1">
        <v>45928</v>
      </c>
      <c r="J141" s="1">
        <v>46271</v>
      </c>
      <c r="K141">
        <v>100</v>
      </c>
      <c r="L141">
        <v>343</v>
      </c>
      <c r="M141">
        <v>245</v>
      </c>
      <c r="N141">
        <v>180</v>
      </c>
      <c r="O141">
        <v>1</v>
      </c>
      <c r="P141">
        <v>1</v>
      </c>
      <c r="Q141">
        <v>1</v>
      </c>
      <c r="R141">
        <f>Table1_15[[#This Row],[peak_width_days]]-Table1_15[[#This Row],[time_to_peak_days]]</f>
        <v>98</v>
      </c>
    </row>
    <row r="142" spans="1:18" x14ac:dyDescent="0.3">
      <c r="A142" t="s">
        <v>51</v>
      </c>
      <c r="B142" t="s">
        <v>0</v>
      </c>
      <c r="C142" t="s">
        <v>229</v>
      </c>
      <c r="D142" t="s">
        <v>228</v>
      </c>
      <c r="E142">
        <v>1</v>
      </c>
      <c r="F142" s="1">
        <v>42005</v>
      </c>
      <c r="G142">
        <v>1</v>
      </c>
      <c r="H142" t="s">
        <v>227</v>
      </c>
      <c r="I142" s="1">
        <v>42005</v>
      </c>
      <c r="J142" s="1">
        <v>42050</v>
      </c>
      <c r="K142">
        <v>100</v>
      </c>
      <c r="L142">
        <v>45</v>
      </c>
      <c r="M142">
        <v>37</v>
      </c>
      <c r="N142">
        <v>45</v>
      </c>
      <c r="O142">
        <v>1</v>
      </c>
      <c r="P142">
        <v>0</v>
      </c>
      <c r="Q142">
        <v>1</v>
      </c>
      <c r="R142">
        <f>Table1_15[[#This Row],[peak_width_days]]-Table1_15[[#This Row],[time_to_peak_days]]</f>
        <v>8</v>
      </c>
    </row>
    <row r="143" spans="1:18" x14ac:dyDescent="0.3">
      <c r="A143" t="s">
        <v>50</v>
      </c>
      <c r="B143" t="s">
        <v>0</v>
      </c>
      <c r="C143" t="s">
        <v>231</v>
      </c>
      <c r="D143" t="s">
        <v>228</v>
      </c>
      <c r="E143">
        <v>1</v>
      </c>
      <c r="F143" s="1">
        <v>44896</v>
      </c>
      <c r="G143">
        <v>0.77780000000000005</v>
      </c>
      <c r="H143" t="s">
        <v>227</v>
      </c>
      <c r="I143" s="1">
        <v>44851</v>
      </c>
      <c r="J143" s="1">
        <v>44926</v>
      </c>
      <c r="K143">
        <v>100</v>
      </c>
      <c r="L143">
        <v>75</v>
      </c>
      <c r="M143">
        <v>67</v>
      </c>
      <c r="N143">
        <v>45</v>
      </c>
      <c r="O143">
        <v>1</v>
      </c>
      <c r="P143">
        <v>0</v>
      </c>
      <c r="Q143">
        <v>1</v>
      </c>
      <c r="R143">
        <f>Table1_15[[#This Row],[peak_width_days]]-Table1_15[[#This Row],[time_to_peak_days]]</f>
        <v>8</v>
      </c>
    </row>
    <row r="144" spans="1:18" x14ac:dyDescent="0.3">
      <c r="A144" t="s">
        <v>50</v>
      </c>
      <c r="B144" t="s">
        <v>0</v>
      </c>
      <c r="C144" t="s">
        <v>230</v>
      </c>
      <c r="D144" t="s">
        <v>228</v>
      </c>
      <c r="E144">
        <v>2</v>
      </c>
      <c r="F144" s="1">
        <v>45261</v>
      </c>
      <c r="G144">
        <v>1</v>
      </c>
      <c r="H144" t="s">
        <v>227</v>
      </c>
      <c r="I144" s="1">
        <v>44927</v>
      </c>
      <c r="J144" s="1">
        <v>45620</v>
      </c>
      <c r="K144">
        <v>100</v>
      </c>
      <c r="L144">
        <v>693</v>
      </c>
      <c r="M144">
        <v>336</v>
      </c>
      <c r="N144">
        <v>360</v>
      </c>
      <c r="O144">
        <v>1</v>
      </c>
      <c r="P144">
        <v>1</v>
      </c>
      <c r="Q144">
        <v>1</v>
      </c>
      <c r="R144">
        <f>Table1_15[[#This Row],[peak_width_days]]-Table1_15[[#This Row],[time_to_peak_days]]</f>
        <v>357</v>
      </c>
    </row>
    <row r="145" spans="1:18" x14ac:dyDescent="0.3">
      <c r="A145" t="s">
        <v>49</v>
      </c>
      <c r="B145" t="s">
        <v>0</v>
      </c>
      <c r="C145" t="s">
        <v>231</v>
      </c>
      <c r="D145" t="s">
        <v>228</v>
      </c>
      <c r="E145">
        <v>1</v>
      </c>
      <c r="F145" s="1">
        <v>43891</v>
      </c>
      <c r="G145">
        <v>1</v>
      </c>
      <c r="H145" t="s">
        <v>227</v>
      </c>
      <c r="I145" s="1">
        <v>43828</v>
      </c>
      <c r="J145" s="1">
        <v>44248</v>
      </c>
      <c r="K145">
        <v>100</v>
      </c>
      <c r="L145">
        <v>420</v>
      </c>
      <c r="M145">
        <v>84</v>
      </c>
      <c r="N145">
        <v>360</v>
      </c>
      <c r="O145">
        <v>1</v>
      </c>
      <c r="P145">
        <v>1</v>
      </c>
      <c r="Q145">
        <v>1</v>
      </c>
      <c r="R145">
        <f>Table1_15[[#This Row],[peak_width_days]]-Table1_15[[#This Row],[time_to_peak_days]]</f>
        <v>336</v>
      </c>
    </row>
    <row r="146" spans="1:18" x14ac:dyDescent="0.3">
      <c r="A146" t="s">
        <v>57</v>
      </c>
      <c r="B146" t="s">
        <v>0</v>
      </c>
      <c r="C146" t="s">
        <v>229</v>
      </c>
      <c r="D146" t="s">
        <v>228</v>
      </c>
      <c r="E146">
        <v>1</v>
      </c>
      <c r="F146" s="1">
        <v>43709</v>
      </c>
      <c r="G146">
        <v>1</v>
      </c>
      <c r="H146" t="s">
        <v>227</v>
      </c>
      <c r="I146" s="1">
        <v>43674</v>
      </c>
      <c r="J146" s="1">
        <v>43828</v>
      </c>
      <c r="K146">
        <v>100</v>
      </c>
      <c r="L146">
        <v>154</v>
      </c>
      <c r="M146">
        <v>70</v>
      </c>
      <c r="N146">
        <v>180</v>
      </c>
      <c r="O146">
        <v>1</v>
      </c>
      <c r="P146">
        <v>1</v>
      </c>
      <c r="Q146">
        <v>1</v>
      </c>
      <c r="R146">
        <f>Table1_15[[#This Row],[peak_width_days]]-Table1_15[[#This Row],[time_to_peak_days]]</f>
        <v>84</v>
      </c>
    </row>
    <row r="147" spans="1:18" x14ac:dyDescent="0.3">
      <c r="A147" t="s">
        <v>47</v>
      </c>
      <c r="B147" t="s">
        <v>0</v>
      </c>
      <c r="C147" t="s">
        <v>229</v>
      </c>
      <c r="D147" t="s">
        <v>228</v>
      </c>
      <c r="E147">
        <v>1</v>
      </c>
      <c r="F147" s="1">
        <v>43739</v>
      </c>
      <c r="G147">
        <v>1</v>
      </c>
      <c r="H147" t="s">
        <v>227</v>
      </c>
      <c r="I147" s="1">
        <v>43555</v>
      </c>
      <c r="J147" s="1">
        <v>43828</v>
      </c>
      <c r="K147">
        <v>100</v>
      </c>
      <c r="L147">
        <v>273</v>
      </c>
      <c r="M147">
        <v>203</v>
      </c>
      <c r="N147">
        <v>180</v>
      </c>
      <c r="O147">
        <v>1</v>
      </c>
      <c r="P147">
        <v>1</v>
      </c>
      <c r="Q147">
        <v>1</v>
      </c>
      <c r="R147">
        <f>Table1_15[[#This Row],[peak_width_days]]-Table1_15[[#This Row],[time_to_peak_days]]</f>
        <v>70</v>
      </c>
    </row>
    <row r="148" spans="1:18" x14ac:dyDescent="0.3">
      <c r="A148" t="s">
        <v>47</v>
      </c>
      <c r="B148" t="s">
        <v>0</v>
      </c>
      <c r="C148" t="s">
        <v>231</v>
      </c>
      <c r="D148" t="s">
        <v>228</v>
      </c>
      <c r="E148">
        <v>2</v>
      </c>
      <c r="F148" s="1">
        <v>43831</v>
      </c>
      <c r="G148">
        <v>0.76</v>
      </c>
      <c r="H148" t="s">
        <v>227</v>
      </c>
      <c r="I148" s="1">
        <v>43831</v>
      </c>
      <c r="J148" s="1">
        <v>43876</v>
      </c>
      <c r="K148">
        <v>100</v>
      </c>
      <c r="L148">
        <v>45</v>
      </c>
      <c r="M148">
        <v>23</v>
      </c>
      <c r="N148">
        <v>45</v>
      </c>
      <c r="O148">
        <v>1</v>
      </c>
      <c r="P148">
        <v>0</v>
      </c>
      <c r="Q148">
        <v>1</v>
      </c>
      <c r="R148">
        <f>Table1_15[[#This Row],[peak_width_days]]-Table1_15[[#This Row],[time_to_peak_days]]</f>
        <v>22</v>
      </c>
    </row>
    <row r="149" spans="1:18" x14ac:dyDescent="0.3">
      <c r="A149" t="s">
        <v>29</v>
      </c>
      <c r="B149" t="s">
        <v>0</v>
      </c>
      <c r="C149" t="s">
        <v>231</v>
      </c>
      <c r="D149" t="s">
        <v>228</v>
      </c>
      <c r="E149">
        <v>2</v>
      </c>
      <c r="F149" s="1">
        <v>44075</v>
      </c>
      <c r="G149">
        <v>0.52</v>
      </c>
      <c r="H149" t="s">
        <v>227</v>
      </c>
      <c r="I149" s="1">
        <v>43828</v>
      </c>
      <c r="J149" s="1">
        <v>44430</v>
      </c>
      <c r="K149">
        <v>100</v>
      </c>
      <c r="L149">
        <v>602</v>
      </c>
      <c r="M149">
        <v>378</v>
      </c>
      <c r="N149">
        <v>360</v>
      </c>
      <c r="O149">
        <v>1</v>
      </c>
      <c r="P149">
        <v>1</v>
      </c>
      <c r="Q149">
        <v>1</v>
      </c>
      <c r="R149">
        <f>Table1_15[[#This Row],[peak_width_days]]-Table1_15[[#This Row],[time_to_peak_days]]</f>
        <v>224</v>
      </c>
    </row>
    <row r="150" spans="1:18" x14ac:dyDescent="0.3">
      <c r="A150" t="s">
        <v>28</v>
      </c>
      <c r="B150" t="s">
        <v>0</v>
      </c>
      <c r="C150" t="s">
        <v>229</v>
      </c>
      <c r="D150" t="s">
        <v>228</v>
      </c>
      <c r="E150">
        <v>1</v>
      </c>
      <c r="F150" s="1">
        <v>42186</v>
      </c>
      <c r="G150">
        <v>0.55259999999999998</v>
      </c>
      <c r="H150" t="s">
        <v>227</v>
      </c>
      <c r="I150" s="1">
        <v>42001</v>
      </c>
      <c r="J150" s="1">
        <v>42540</v>
      </c>
      <c r="K150">
        <v>100</v>
      </c>
      <c r="L150">
        <v>539</v>
      </c>
      <c r="M150">
        <v>350</v>
      </c>
      <c r="N150">
        <v>360</v>
      </c>
      <c r="O150">
        <v>1</v>
      </c>
      <c r="P150">
        <v>1</v>
      </c>
      <c r="Q150">
        <v>1</v>
      </c>
      <c r="R150">
        <f>Table1_15[[#This Row],[peak_width_days]]-Table1_15[[#This Row],[time_to_peak_days]]</f>
        <v>189</v>
      </c>
    </row>
    <row r="151" spans="1:18" x14ac:dyDescent="0.3">
      <c r="A151" t="s">
        <v>28</v>
      </c>
      <c r="B151" t="s">
        <v>0</v>
      </c>
      <c r="C151" t="s">
        <v>230</v>
      </c>
      <c r="D151" t="s">
        <v>228</v>
      </c>
      <c r="E151">
        <v>3</v>
      </c>
      <c r="F151" s="1">
        <v>46143</v>
      </c>
      <c r="G151">
        <v>0.76319999999999999</v>
      </c>
      <c r="H151" t="s">
        <v>227</v>
      </c>
      <c r="I151" s="1">
        <v>45963</v>
      </c>
      <c r="J151" s="1">
        <v>46278</v>
      </c>
      <c r="K151">
        <v>100</v>
      </c>
      <c r="L151">
        <v>315</v>
      </c>
      <c r="M151">
        <v>175</v>
      </c>
      <c r="N151">
        <v>180</v>
      </c>
      <c r="O151">
        <v>1</v>
      </c>
      <c r="P151">
        <v>1</v>
      </c>
      <c r="Q151">
        <v>1</v>
      </c>
      <c r="R151">
        <f>Table1_15[[#This Row],[peak_width_days]]-Table1_15[[#This Row],[time_to_peak_days]]</f>
        <v>140</v>
      </c>
    </row>
    <row r="152" spans="1:18" x14ac:dyDescent="0.3">
      <c r="A152" t="s">
        <v>27</v>
      </c>
      <c r="B152" t="s">
        <v>0</v>
      </c>
      <c r="C152" t="s">
        <v>231</v>
      </c>
      <c r="D152" t="s">
        <v>228</v>
      </c>
      <c r="E152">
        <v>1</v>
      </c>
      <c r="F152" s="1">
        <v>43952</v>
      </c>
      <c r="G152">
        <v>1</v>
      </c>
      <c r="H152" t="s">
        <v>227</v>
      </c>
      <c r="I152" s="1">
        <v>43828</v>
      </c>
      <c r="J152" s="1">
        <v>44129</v>
      </c>
      <c r="K152">
        <v>100</v>
      </c>
      <c r="L152">
        <v>301</v>
      </c>
      <c r="M152">
        <v>126</v>
      </c>
      <c r="N152">
        <v>180</v>
      </c>
      <c r="O152">
        <v>1</v>
      </c>
      <c r="P152">
        <v>1</v>
      </c>
      <c r="Q152">
        <v>1</v>
      </c>
      <c r="R152">
        <f>Table1_15[[#This Row],[peak_width_days]]-Table1_15[[#This Row],[time_to_peak_days]]</f>
        <v>175</v>
      </c>
    </row>
    <row r="153" spans="1:18" x14ac:dyDescent="0.3">
      <c r="A153" t="s">
        <v>27</v>
      </c>
      <c r="B153" t="s">
        <v>0</v>
      </c>
      <c r="C153" t="s">
        <v>230</v>
      </c>
      <c r="D153" t="s">
        <v>228</v>
      </c>
      <c r="E153">
        <v>2</v>
      </c>
      <c r="F153" s="1">
        <v>45108</v>
      </c>
      <c r="G153">
        <v>0.70369999999999999</v>
      </c>
      <c r="H153" t="s">
        <v>227</v>
      </c>
      <c r="I153" s="1">
        <v>44927</v>
      </c>
      <c r="J153" s="1">
        <v>45466</v>
      </c>
      <c r="K153">
        <v>100</v>
      </c>
      <c r="L153">
        <v>539</v>
      </c>
      <c r="M153">
        <v>182</v>
      </c>
      <c r="N153">
        <v>360</v>
      </c>
      <c r="O153">
        <v>1</v>
      </c>
      <c r="P153">
        <v>1</v>
      </c>
      <c r="Q153">
        <v>1</v>
      </c>
      <c r="R153">
        <f>Table1_15[[#This Row],[peak_width_days]]-Table1_15[[#This Row],[time_to_peak_days]]</f>
        <v>357</v>
      </c>
    </row>
    <row r="154" spans="1:18" x14ac:dyDescent="0.3">
      <c r="A154" t="s">
        <v>26</v>
      </c>
      <c r="B154" t="s">
        <v>0</v>
      </c>
      <c r="C154" t="s">
        <v>229</v>
      </c>
      <c r="D154" t="s">
        <v>228</v>
      </c>
      <c r="E154">
        <v>1</v>
      </c>
      <c r="F154" s="1">
        <v>42005</v>
      </c>
      <c r="G154">
        <v>0.73809999999999998</v>
      </c>
      <c r="H154" t="s">
        <v>227</v>
      </c>
      <c r="I154" s="1">
        <v>42005</v>
      </c>
      <c r="J154" s="1">
        <v>42050</v>
      </c>
      <c r="K154">
        <v>100</v>
      </c>
      <c r="L154">
        <v>45</v>
      </c>
      <c r="M154">
        <v>9</v>
      </c>
      <c r="N154">
        <v>45</v>
      </c>
      <c r="O154">
        <v>1</v>
      </c>
      <c r="P154">
        <v>0</v>
      </c>
      <c r="Q154">
        <v>1</v>
      </c>
      <c r="R154">
        <f>Table1_15[[#This Row],[peak_width_days]]-Table1_15[[#This Row],[time_to_peak_days]]</f>
        <v>36</v>
      </c>
    </row>
    <row r="155" spans="1:18" x14ac:dyDescent="0.3">
      <c r="A155" t="s">
        <v>26</v>
      </c>
      <c r="B155" t="s">
        <v>0</v>
      </c>
      <c r="C155" t="s">
        <v>231</v>
      </c>
      <c r="D155" t="s">
        <v>228</v>
      </c>
      <c r="E155">
        <v>2</v>
      </c>
      <c r="F155" s="1">
        <v>44440</v>
      </c>
      <c r="G155">
        <v>1</v>
      </c>
      <c r="H155" t="s">
        <v>227</v>
      </c>
      <c r="I155" s="1">
        <v>43828</v>
      </c>
      <c r="J155" s="1">
        <v>44920</v>
      </c>
      <c r="K155">
        <v>100</v>
      </c>
      <c r="L155">
        <v>1092</v>
      </c>
      <c r="M155">
        <v>700</v>
      </c>
      <c r="N155">
        <v>720</v>
      </c>
      <c r="O155">
        <v>1</v>
      </c>
      <c r="P155">
        <v>1</v>
      </c>
      <c r="Q155">
        <v>1</v>
      </c>
      <c r="R155">
        <f>Table1_15[[#This Row],[peak_width_days]]-Table1_15[[#This Row],[time_to_peak_days]]</f>
        <v>392</v>
      </c>
    </row>
    <row r="156" spans="1:18" x14ac:dyDescent="0.3">
      <c r="A156" t="s">
        <v>25</v>
      </c>
      <c r="B156" t="s">
        <v>0</v>
      </c>
      <c r="C156" t="s">
        <v>229</v>
      </c>
      <c r="D156" t="s">
        <v>228</v>
      </c>
      <c r="E156">
        <v>1</v>
      </c>
      <c r="F156" s="1">
        <v>43070</v>
      </c>
      <c r="G156">
        <v>0.85</v>
      </c>
      <c r="H156" t="s">
        <v>227</v>
      </c>
      <c r="I156" s="1">
        <v>42001</v>
      </c>
      <c r="J156" s="1">
        <v>43828</v>
      </c>
      <c r="K156">
        <v>100</v>
      </c>
      <c r="L156">
        <v>1827</v>
      </c>
      <c r="M156">
        <v>1085</v>
      </c>
      <c r="N156">
        <v>1440</v>
      </c>
      <c r="O156">
        <v>1</v>
      </c>
      <c r="P156">
        <v>1</v>
      </c>
      <c r="Q156">
        <v>1</v>
      </c>
      <c r="R156">
        <f>Table1_15[[#This Row],[peak_width_days]]-Table1_15[[#This Row],[time_to_peak_days]]</f>
        <v>742</v>
      </c>
    </row>
    <row r="157" spans="1:18" x14ac:dyDescent="0.3">
      <c r="A157" t="s">
        <v>25</v>
      </c>
      <c r="B157" t="s">
        <v>0</v>
      </c>
      <c r="C157" t="s">
        <v>231</v>
      </c>
      <c r="D157" t="s">
        <v>228</v>
      </c>
      <c r="E157">
        <v>2</v>
      </c>
      <c r="F157" s="1">
        <v>44348</v>
      </c>
      <c r="G157">
        <v>1</v>
      </c>
      <c r="H157" t="s">
        <v>227</v>
      </c>
      <c r="I157" s="1">
        <v>43828</v>
      </c>
      <c r="J157" s="1">
        <v>44920</v>
      </c>
      <c r="K157">
        <v>100</v>
      </c>
      <c r="L157">
        <v>1092</v>
      </c>
      <c r="M157">
        <v>84</v>
      </c>
      <c r="N157">
        <v>720</v>
      </c>
      <c r="O157">
        <v>1</v>
      </c>
      <c r="P157">
        <v>1</v>
      </c>
      <c r="Q157">
        <v>1</v>
      </c>
      <c r="R157">
        <f>Table1_15[[#This Row],[peak_width_days]]-Table1_15[[#This Row],[time_to_peak_days]]</f>
        <v>1008</v>
      </c>
    </row>
    <row r="158" spans="1:18" x14ac:dyDescent="0.3">
      <c r="A158" t="s">
        <v>25</v>
      </c>
      <c r="B158" t="s">
        <v>0</v>
      </c>
      <c r="C158" t="s">
        <v>230</v>
      </c>
      <c r="D158" t="s">
        <v>228</v>
      </c>
      <c r="E158">
        <v>3</v>
      </c>
      <c r="F158" s="1">
        <v>46054</v>
      </c>
      <c r="G158">
        <v>0.99</v>
      </c>
      <c r="H158" t="s">
        <v>227</v>
      </c>
      <c r="I158" s="1">
        <v>45690</v>
      </c>
      <c r="J158" s="1">
        <v>46278</v>
      </c>
      <c r="K158">
        <v>100</v>
      </c>
      <c r="L158">
        <v>588</v>
      </c>
      <c r="M158">
        <v>378</v>
      </c>
      <c r="N158">
        <v>360</v>
      </c>
      <c r="O158">
        <v>1</v>
      </c>
      <c r="P158">
        <v>1</v>
      </c>
      <c r="Q158">
        <v>1</v>
      </c>
      <c r="R158">
        <f>Table1_15[[#This Row],[peak_width_days]]-Table1_15[[#This Row],[time_to_peak_days]]</f>
        <v>210</v>
      </c>
    </row>
    <row r="159" spans="1:18" x14ac:dyDescent="0.3">
      <c r="A159" t="s">
        <v>24</v>
      </c>
      <c r="B159" t="s">
        <v>0</v>
      </c>
      <c r="C159" t="s">
        <v>229</v>
      </c>
      <c r="D159" t="s">
        <v>228</v>
      </c>
      <c r="E159">
        <v>1</v>
      </c>
      <c r="F159" s="1">
        <v>43070</v>
      </c>
      <c r="G159">
        <v>0.63639999999999997</v>
      </c>
      <c r="H159" t="s">
        <v>227</v>
      </c>
      <c r="I159" s="1">
        <v>42001</v>
      </c>
      <c r="J159" s="1">
        <v>43828</v>
      </c>
      <c r="K159">
        <v>100</v>
      </c>
      <c r="L159">
        <v>1827</v>
      </c>
      <c r="M159">
        <v>1092</v>
      </c>
      <c r="N159">
        <v>1440</v>
      </c>
      <c r="O159">
        <v>1</v>
      </c>
      <c r="P159">
        <v>1</v>
      </c>
      <c r="Q159">
        <v>1</v>
      </c>
      <c r="R159">
        <f>Table1_15[[#This Row],[peak_width_days]]-Table1_15[[#This Row],[time_to_peak_days]]</f>
        <v>735</v>
      </c>
    </row>
    <row r="160" spans="1:18" x14ac:dyDescent="0.3">
      <c r="A160" t="s">
        <v>24</v>
      </c>
      <c r="B160" t="s">
        <v>0</v>
      </c>
      <c r="C160" t="s">
        <v>231</v>
      </c>
      <c r="D160" t="s">
        <v>228</v>
      </c>
      <c r="E160">
        <v>2</v>
      </c>
      <c r="F160" s="1">
        <v>43952</v>
      </c>
      <c r="G160">
        <v>1</v>
      </c>
      <c r="H160" t="s">
        <v>227</v>
      </c>
      <c r="I160" s="1">
        <v>43828</v>
      </c>
      <c r="J160" s="1">
        <v>44129</v>
      </c>
      <c r="K160">
        <v>100</v>
      </c>
      <c r="L160">
        <v>301</v>
      </c>
      <c r="M160">
        <v>140</v>
      </c>
      <c r="N160">
        <v>180</v>
      </c>
      <c r="O160">
        <v>1</v>
      </c>
      <c r="P160">
        <v>1</v>
      </c>
      <c r="Q160">
        <v>1</v>
      </c>
      <c r="R160">
        <f>Table1_15[[#This Row],[peak_width_days]]-Table1_15[[#This Row],[time_to_peak_days]]</f>
        <v>161</v>
      </c>
    </row>
    <row r="161" spans="1:18" x14ac:dyDescent="0.3">
      <c r="A161" t="s">
        <v>24</v>
      </c>
      <c r="B161" t="s">
        <v>0</v>
      </c>
      <c r="C161" t="s">
        <v>230</v>
      </c>
      <c r="D161" t="s">
        <v>228</v>
      </c>
      <c r="E161">
        <v>3</v>
      </c>
      <c r="F161" s="1">
        <v>46266</v>
      </c>
      <c r="G161">
        <v>0.81820000000000004</v>
      </c>
      <c r="H161" t="s">
        <v>227</v>
      </c>
      <c r="I161" s="1">
        <v>46221</v>
      </c>
      <c r="J161" s="1">
        <v>46280</v>
      </c>
      <c r="K161">
        <v>100</v>
      </c>
      <c r="L161">
        <v>59</v>
      </c>
      <c r="M161">
        <v>50</v>
      </c>
      <c r="N161">
        <v>45</v>
      </c>
      <c r="O161">
        <v>1</v>
      </c>
      <c r="P161">
        <v>0</v>
      </c>
      <c r="Q161">
        <v>1</v>
      </c>
      <c r="R161">
        <f>Table1_15[[#This Row],[peak_width_days]]-Table1_15[[#This Row],[time_to_peak_days]]</f>
        <v>9</v>
      </c>
    </row>
    <row r="162" spans="1:18" x14ac:dyDescent="0.3">
      <c r="A162" t="s">
        <v>23</v>
      </c>
      <c r="B162" t="s">
        <v>0</v>
      </c>
      <c r="C162" t="s">
        <v>229</v>
      </c>
      <c r="D162" t="s">
        <v>228</v>
      </c>
      <c r="E162">
        <v>1</v>
      </c>
      <c r="F162" s="1">
        <v>42887</v>
      </c>
      <c r="G162">
        <v>1</v>
      </c>
      <c r="H162" t="s">
        <v>227</v>
      </c>
      <c r="I162" s="1">
        <v>42001</v>
      </c>
      <c r="J162" s="1">
        <v>43828</v>
      </c>
      <c r="K162">
        <v>100</v>
      </c>
      <c r="L162">
        <v>1827</v>
      </c>
      <c r="M162">
        <v>1092</v>
      </c>
      <c r="N162">
        <v>1440</v>
      </c>
      <c r="O162">
        <v>1</v>
      </c>
      <c r="P162">
        <v>1</v>
      </c>
      <c r="Q162">
        <v>1</v>
      </c>
      <c r="R162">
        <f>Table1_15[[#This Row],[peak_width_days]]-Table1_15[[#This Row],[time_to_peak_days]]</f>
        <v>735</v>
      </c>
    </row>
    <row r="163" spans="1:18" x14ac:dyDescent="0.3">
      <c r="A163" t="s">
        <v>23</v>
      </c>
      <c r="B163" t="s">
        <v>0</v>
      </c>
      <c r="C163" t="s">
        <v>231</v>
      </c>
      <c r="D163" t="s">
        <v>228</v>
      </c>
      <c r="E163">
        <v>2</v>
      </c>
      <c r="F163" s="1">
        <v>43922</v>
      </c>
      <c r="G163">
        <v>0.9</v>
      </c>
      <c r="H163" t="s">
        <v>227</v>
      </c>
      <c r="I163" s="1">
        <v>43828</v>
      </c>
      <c r="J163" s="1">
        <v>44101</v>
      </c>
      <c r="K163">
        <v>100</v>
      </c>
      <c r="L163">
        <v>273</v>
      </c>
      <c r="M163">
        <v>147</v>
      </c>
      <c r="N163">
        <v>180</v>
      </c>
      <c r="O163">
        <v>1</v>
      </c>
      <c r="P163">
        <v>1</v>
      </c>
      <c r="Q163">
        <v>1</v>
      </c>
      <c r="R163">
        <f>Table1_15[[#This Row],[peak_width_days]]-Table1_15[[#This Row],[time_to_peak_days]]</f>
        <v>126</v>
      </c>
    </row>
    <row r="164" spans="1:18" x14ac:dyDescent="0.3">
      <c r="A164" t="s">
        <v>23</v>
      </c>
      <c r="B164" t="s">
        <v>0</v>
      </c>
      <c r="C164" t="s">
        <v>230</v>
      </c>
      <c r="D164" t="s">
        <v>228</v>
      </c>
      <c r="E164">
        <v>3</v>
      </c>
      <c r="F164" s="1">
        <v>46266</v>
      </c>
      <c r="G164">
        <v>1</v>
      </c>
      <c r="H164" t="s">
        <v>227</v>
      </c>
      <c r="I164" s="1">
        <v>46221</v>
      </c>
      <c r="J164" s="1">
        <v>46280</v>
      </c>
      <c r="K164">
        <v>100</v>
      </c>
      <c r="L164">
        <v>59</v>
      </c>
      <c r="M164">
        <v>25</v>
      </c>
      <c r="N164">
        <v>45</v>
      </c>
      <c r="O164">
        <v>1</v>
      </c>
      <c r="P164">
        <v>0</v>
      </c>
      <c r="Q164">
        <v>1</v>
      </c>
      <c r="R164">
        <f>Table1_15[[#This Row],[peak_width_days]]-Table1_15[[#This Row],[time_to_peak_days]]</f>
        <v>34</v>
      </c>
    </row>
    <row r="165" spans="1:18" x14ac:dyDescent="0.3">
      <c r="A165" t="s">
        <v>22</v>
      </c>
      <c r="B165" t="s">
        <v>0</v>
      </c>
      <c r="C165" t="s">
        <v>231</v>
      </c>
      <c r="D165" t="s">
        <v>228</v>
      </c>
      <c r="E165">
        <v>1</v>
      </c>
      <c r="F165" s="1">
        <v>44348</v>
      </c>
      <c r="G165">
        <v>1</v>
      </c>
      <c r="H165" t="s">
        <v>227</v>
      </c>
      <c r="I165" s="1">
        <v>43828</v>
      </c>
      <c r="J165" s="1">
        <v>44920</v>
      </c>
      <c r="K165">
        <v>100</v>
      </c>
      <c r="L165">
        <v>1092</v>
      </c>
      <c r="M165">
        <v>735</v>
      </c>
      <c r="N165">
        <v>720</v>
      </c>
      <c r="O165">
        <v>1</v>
      </c>
      <c r="P165">
        <v>1</v>
      </c>
      <c r="Q165">
        <v>1</v>
      </c>
      <c r="R165">
        <f>Table1_15[[#This Row],[peak_width_days]]-Table1_15[[#This Row],[time_to_peak_days]]</f>
        <v>357</v>
      </c>
    </row>
    <row r="166" spans="1:18" x14ac:dyDescent="0.3">
      <c r="A166" t="s">
        <v>21</v>
      </c>
      <c r="B166" t="s">
        <v>0</v>
      </c>
      <c r="C166" t="s">
        <v>231</v>
      </c>
      <c r="D166" t="s">
        <v>228</v>
      </c>
      <c r="E166">
        <v>2</v>
      </c>
      <c r="F166" s="1">
        <v>43831</v>
      </c>
      <c r="G166">
        <v>0.5</v>
      </c>
      <c r="H166" t="s">
        <v>227</v>
      </c>
      <c r="I166" s="1">
        <v>43831</v>
      </c>
      <c r="J166" s="1">
        <v>43876</v>
      </c>
      <c r="K166">
        <v>100</v>
      </c>
      <c r="L166">
        <v>45</v>
      </c>
      <c r="M166">
        <v>27</v>
      </c>
      <c r="N166">
        <v>45</v>
      </c>
      <c r="O166">
        <v>1</v>
      </c>
      <c r="P166">
        <v>0</v>
      </c>
      <c r="Q166">
        <v>1</v>
      </c>
      <c r="R166">
        <f>Table1_15[[#This Row],[peak_width_days]]-Table1_15[[#This Row],[time_to_peak_days]]</f>
        <v>18</v>
      </c>
    </row>
    <row r="167" spans="1:18" x14ac:dyDescent="0.3">
      <c r="A167" t="s">
        <v>21</v>
      </c>
      <c r="B167" t="s">
        <v>0</v>
      </c>
      <c r="C167" t="s">
        <v>230</v>
      </c>
      <c r="D167" t="s">
        <v>228</v>
      </c>
      <c r="E167">
        <v>3</v>
      </c>
      <c r="F167" s="1">
        <v>45839</v>
      </c>
      <c r="G167">
        <v>1</v>
      </c>
      <c r="H167" t="s">
        <v>227</v>
      </c>
      <c r="I167" s="1">
        <v>45116</v>
      </c>
      <c r="J167" s="1">
        <v>46278</v>
      </c>
      <c r="K167">
        <v>100</v>
      </c>
      <c r="L167">
        <v>1162</v>
      </c>
      <c r="M167">
        <v>728</v>
      </c>
      <c r="N167">
        <v>720</v>
      </c>
      <c r="O167">
        <v>1</v>
      </c>
      <c r="P167">
        <v>1</v>
      </c>
      <c r="Q167">
        <v>1</v>
      </c>
      <c r="R167">
        <f>Table1_15[[#This Row],[peak_width_days]]-Table1_15[[#This Row],[time_to_peak_days]]</f>
        <v>434</v>
      </c>
    </row>
    <row r="168" spans="1:18" x14ac:dyDescent="0.3">
      <c r="A168" t="s">
        <v>20</v>
      </c>
      <c r="B168" t="s">
        <v>0</v>
      </c>
      <c r="C168" t="s">
        <v>229</v>
      </c>
      <c r="D168" t="s">
        <v>228</v>
      </c>
      <c r="E168">
        <v>1</v>
      </c>
      <c r="F168" s="1">
        <v>42370</v>
      </c>
      <c r="G168">
        <v>0.86</v>
      </c>
      <c r="H168" t="s">
        <v>227</v>
      </c>
      <c r="I168" s="1">
        <v>42001</v>
      </c>
      <c r="J168" s="1">
        <v>43086</v>
      </c>
      <c r="K168">
        <v>100</v>
      </c>
      <c r="L168">
        <v>1085</v>
      </c>
      <c r="M168">
        <v>371</v>
      </c>
      <c r="N168">
        <v>720</v>
      </c>
      <c r="O168">
        <v>1</v>
      </c>
      <c r="P168">
        <v>1</v>
      </c>
      <c r="Q168">
        <v>1</v>
      </c>
      <c r="R168">
        <f>Table1_15[[#This Row],[peak_width_days]]-Table1_15[[#This Row],[time_to_peak_days]]</f>
        <v>714</v>
      </c>
    </row>
    <row r="169" spans="1:18" x14ac:dyDescent="0.3">
      <c r="A169" t="s">
        <v>18</v>
      </c>
      <c r="B169" t="s">
        <v>0</v>
      </c>
      <c r="C169" t="s">
        <v>229</v>
      </c>
      <c r="D169" t="s">
        <v>228</v>
      </c>
      <c r="E169">
        <v>1</v>
      </c>
      <c r="F169" s="1">
        <v>43800</v>
      </c>
      <c r="G169">
        <v>0.54390000000000005</v>
      </c>
      <c r="H169" t="s">
        <v>227</v>
      </c>
      <c r="I169" s="1">
        <v>43755</v>
      </c>
      <c r="J169" s="1">
        <v>43830</v>
      </c>
      <c r="K169">
        <v>100</v>
      </c>
      <c r="L169">
        <v>75</v>
      </c>
      <c r="M169">
        <v>72</v>
      </c>
      <c r="N169">
        <v>45</v>
      </c>
      <c r="O169">
        <v>1</v>
      </c>
      <c r="P169">
        <v>0</v>
      </c>
      <c r="Q169">
        <v>1</v>
      </c>
      <c r="R169">
        <f>Table1_15[[#This Row],[peak_width_days]]-Table1_15[[#This Row],[time_to_peak_days]]</f>
        <v>3</v>
      </c>
    </row>
    <row r="170" spans="1:18" x14ac:dyDescent="0.3">
      <c r="A170" t="s">
        <v>18</v>
      </c>
      <c r="B170" t="s">
        <v>0</v>
      </c>
      <c r="C170" t="s">
        <v>231</v>
      </c>
      <c r="D170" t="s">
        <v>228</v>
      </c>
      <c r="E170">
        <v>2</v>
      </c>
      <c r="F170" s="1">
        <v>44531</v>
      </c>
      <c r="G170">
        <v>1</v>
      </c>
      <c r="H170" t="s">
        <v>227</v>
      </c>
      <c r="I170" s="1">
        <v>43828</v>
      </c>
      <c r="J170" s="1">
        <v>44920</v>
      </c>
      <c r="K170">
        <v>100</v>
      </c>
      <c r="L170">
        <v>1092</v>
      </c>
      <c r="M170">
        <v>1092</v>
      </c>
      <c r="N170">
        <v>720</v>
      </c>
      <c r="O170">
        <v>1</v>
      </c>
      <c r="P170">
        <v>1</v>
      </c>
      <c r="Q170">
        <v>1</v>
      </c>
      <c r="R170">
        <f>Table1_15[[#This Row],[peak_width_days]]-Table1_15[[#This Row],[time_to_peak_days]]</f>
        <v>0</v>
      </c>
    </row>
    <row r="171" spans="1:18" x14ac:dyDescent="0.3">
      <c r="A171" t="s">
        <v>18</v>
      </c>
      <c r="B171" t="s">
        <v>0</v>
      </c>
      <c r="C171" t="s">
        <v>230</v>
      </c>
      <c r="D171" t="s">
        <v>228</v>
      </c>
      <c r="E171">
        <v>3</v>
      </c>
      <c r="F171" s="1">
        <v>44927</v>
      </c>
      <c r="G171">
        <v>0.78949999999999998</v>
      </c>
      <c r="H171" t="s">
        <v>227</v>
      </c>
      <c r="I171" s="1">
        <v>44927</v>
      </c>
      <c r="J171" s="1">
        <v>44972</v>
      </c>
      <c r="K171">
        <v>100</v>
      </c>
      <c r="L171">
        <v>45</v>
      </c>
      <c r="M171">
        <v>0</v>
      </c>
      <c r="N171">
        <v>45</v>
      </c>
      <c r="O171">
        <v>1</v>
      </c>
      <c r="P171">
        <v>0</v>
      </c>
      <c r="Q171">
        <v>1</v>
      </c>
      <c r="R171">
        <f>Table1_15[[#This Row],[peak_width_days]]-Table1_15[[#This Row],[time_to_peak_days]]</f>
        <v>45</v>
      </c>
    </row>
    <row r="172" spans="1:18" x14ac:dyDescent="0.3">
      <c r="A172" t="s">
        <v>17</v>
      </c>
      <c r="B172" t="s">
        <v>0</v>
      </c>
      <c r="C172" t="s">
        <v>231</v>
      </c>
      <c r="D172" t="s">
        <v>228</v>
      </c>
      <c r="E172">
        <v>1</v>
      </c>
      <c r="F172" s="1">
        <v>44166</v>
      </c>
      <c r="G172">
        <v>1</v>
      </c>
      <c r="H172" t="s">
        <v>227</v>
      </c>
      <c r="I172" s="1">
        <v>44010</v>
      </c>
      <c r="J172" s="1">
        <v>44920</v>
      </c>
      <c r="K172">
        <v>100</v>
      </c>
      <c r="L172">
        <v>910</v>
      </c>
      <c r="M172">
        <v>182</v>
      </c>
      <c r="N172">
        <v>1440</v>
      </c>
      <c r="O172">
        <v>1</v>
      </c>
      <c r="P172">
        <v>1</v>
      </c>
      <c r="Q172">
        <v>1</v>
      </c>
      <c r="R172">
        <f>Table1_15[[#This Row],[peak_width_days]]-Table1_15[[#This Row],[time_to_peak_days]]</f>
        <v>728</v>
      </c>
    </row>
    <row r="173" spans="1:18" x14ac:dyDescent="0.3">
      <c r="A173" t="s">
        <v>17</v>
      </c>
      <c r="B173" t="s">
        <v>0</v>
      </c>
      <c r="C173" t="s">
        <v>230</v>
      </c>
      <c r="D173" t="s">
        <v>228</v>
      </c>
      <c r="E173">
        <v>2</v>
      </c>
      <c r="F173" s="1">
        <v>44927</v>
      </c>
      <c r="G173">
        <v>0.5</v>
      </c>
      <c r="H173" t="s">
        <v>227</v>
      </c>
      <c r="I173" s="1">
        <v>44927</v>
      </c>
      <c r="J173" s="1">
        <v>44972</v>
      </c>
      <c r="K173">
        <v>100</v>
      </c>
      <c r="L173">
        <v>45</v>
      </c>
      <c r="M173">
        <v>5</v>
      </c>
      <c r="N173">
        <v>45</v>
      </c>
      <c r="O173">
        <v>1</v>
      </c>
      <c r="P173">
        <v>0</v>
      </c>
      <c r="Q173">
        <v>1</v>
      </c>
      <c r="R173">
        <f>Table1_15[[#This Row],[peak_width_days]]-Table1_15[[#This Row],[time_to_peak_days]]</f>
        <v>40</v>
      </c>
    </row>
    <row r="174" spans="1:18" x14ac:dyDescent="0.3">
      <c r="A174" t="s">
        <v>15</v>
      </c>
      <c r="B174" t="s">
        <v>0</v>
      </c>
      <c r="C174" t="s">
        <v>229</v>
      </c>
      <c r="D174" t="s">
        <v>228</v>
      </c>
      <c r="E174">
        <v>1</v>
      </c>
      <c r="F174" s="1">
        <v>42644</v>
      </c>
      <c r="G174">
        <v>1</v>
      </c>
      <c r="H174" t="s">
        <v>227</v>
      </c>
      <c r="I174" s="1">
        <v>42078</v>
      </c>
      <c r="J174" s="1">
        <v>43828</v>
      </c>
      <c r="K174">
        <v>100</v>
      </c>
      <c r="L174">
        <v>1750</v>
      </c>
      <c r="M174">
        <v>777</v>
      </c>
      <c r="N174">
        <v>1440</v>
      </c>
      <c r="O174">
        <v>1</v>
      </c>
      <c r="P174">
        <v>1</v>
      </c>
      <c r="Q174">
        <v>1</v>
      </c>
      <c r="R174">
        <f>Table1_15[[#This Row],[peak_width_days]]-Table1_15[[#This Row],[time_to_peak_days]]</f>
        <v>973</v>
      </c>
    </row>
    <row r="175" spans="1:18" x14ac:dyDescent="0.3">
      <c r="A175" t="s">
        <v>15</v>
      </c>
      <c r="B175" t="s">
        <v>0</v>
      </c>
      <c r="C175" t="s">
        <v>231</v>
      </c>
      <c r="D175" t="s">
        <v>228</v>
      </c>
      <c r="E175">
        <v>2</v>
      </c>
      <c r="F175" s="1">
        <v>43831</v>
      </c>
      <c r="G175">
        <v>0.66669999999999996</v>
      </c>
      <c r="H175" t="s">
        <v>227</v>
      </c>
      <c r="I175" s="1">
        <v>43831</v>
      </c>
      <c r="J175" s="1">
        <v>43876</v>
      </c>
      <c r="K175">
        <v>100</v>
      </c>
      <c r="L175">
        <v>45</v>
      </c>
      <c r="M175">
        <v>32</v>
      </c>
      <c r="N175">
        <v>45</v>
      </c>
      <c r="O175">
        <v>1</v>
      </c>
      <c r="P175">
        <v>0</v>
      </c>
      <c r="Q175">
        <v>1</v>
      </c>
      <c r="R175">
        <f>Table1_15[[#This Row],[peak_width_days]]-Table1_15[[#This Row],[time_to_peak_days]]</f>
        <v>13</v>
      </c>
    </row>
    <row r="176" spans="1:18" x14ac:dyDescent="0.3">
      <c r="A176" t="s">
        <v>14</v>
      </c>
      <c r="B176" t="s">
        <v>0</v>
      </c>
      <c r="C176" t="s">
        <v>229</v>
      </c>
      <c r="D176" t="s">
        <v>228</v>
      </c>
      <c r="E176">
        <v>1</v>
      </c>
      <c r="F176" s="1">
        <v>43647</v>
      </c>
      <c r="G176">
        <v>0.69</v>
      </c>
      <c r="H176" t="s">
        <v>227</v>
      </c>
      <c r="I176" s="1">
        <v>43282</v>
      </c>
      <c r="J176" s="1">
        <v>43828</v>
      </c>
      <c r="K176">
        <v>100</v>
      </c>
      <c r="L176">
        <v>546</v>
      </c>
      <c r="M176">
        <v>518</v>
      </c>
      <c r="N176">
        <v>360</v>
      </c>
      <c r="O176">
        <v>1</v>
      </c>
      <c r="P176">
        <v>1</v>
      </c>
      <c r="Q176">
        <v>1</v>
      </c>
      <c r="R176">
        <f>Table1_15[[#This Row],[peak_width_days]]-Table1_15[[#This Row],[time_to_peak_days]]</f>
        <v>28</v>
      </c>
    </row>
    <row r="177" spans="1:18" x14ac:dyDescent="0.3">
      <c r="A177" t="s">
        <v>14</v>
      </c>
      <c r="B177" t="s">
        <v>0</v>
      </c>
      <c r="C177" t="s">
        <v>231</v>
      </c>
      <c r="D177" t="s">
        <v>228</v>
      </c>
      <c r="E177">
        <v>2</v>
      </c>
      <c r="F177" s="1">
        <v>44621</v>
      </c>
      <c r="G177">
        <v>0.94</v>
      </c>
      <c r="H177" t="s">
        <v>227</v>
      </c>
      <c r="I177" s="1">
        <v>44255</v>
      </c>
      <c r="J177" s="1">
        <v>44920</v>
      </c>
      <c r="K177">
        <v>100</v>
      </c>
      <c r="L177">
        <v>665</v>
      </c>
      <c r="M177">
        <v>364</v>
      </c>
      <c r="N177">
        <v>360</v>
      </c>
      <c r="O177">
        <v>1</v>
      </c>
      <c r="P177">
        <v>1</v>
      </c>
      <c r="Q177">
        <v>1</v>
      </c>
      <c r="R177">
        <f>Table1_15[[#This Row],[peak_width_days]]-Table1_15[[#This Row],[time_to_peak_days]]</f>
        <v>301</v>
      </c>
    </row>
    <row r="178" spans="1:18" x14ac:dyDescent="0.3">
      <c r="A178" t="s">
        <v>14</v>
      </c>
      <c r="B178" t="s">
        <v>0</v>
      </c>
      <c r="C178" t="s">
        <v>230</v>
      </c>
      <c r="D178" t="s">
        <v>228</v>
      </c>
      <c r="E178">
        <v>3</v>
      </c>
      <c r="F178" s="1">
        <v>46204</v>
      </c>
      <c r="G178">
        <v>1</v>
      </c>
      <c r="H178" t="s">
        <v>227</v>
      </c>
      <c r="I178" s="1">
        <v>46114</v>
      </c>
      <c r="J178" s="1">
        <v>46280</v>
      </c>
      <c r="K178">
        <v>100</v>
      </c>
      <c r="L178">
        <v>166</v>
      </c>
      <c r="M178">
        <v>97</v>
      </c>
      <c r="N178">
        <v>90</v>
      </c>
      <c r="O178">
        <v>1</v>
      </c>
      <c r="P178">
        <v>0</v>
      </c>
      <c r="Q178">
        <v>1</v>
      </c>
      <c r="R178">
        <f>Table1_15[[#This Row],[peak_width_days]]-Table1_15[[#This Row],[time_to_peak_days]]</f>
        <v>69</v>
      </c>
    </row>
    <row r="179" spans="1:18" x14ac:dyDescent="0.3">
      <c r="A179" t="s">
        <v>12</v>
      </c>
      <c r="B179" t="s">
        <v>0</v>
      </c>
      <c r="C179" t="s">
        <v>229</v>
      </c>
      <c r="D179" t="s">
        <v>228</v>
      </c>
      <c r="E179">
        <v>1</v>
      </c>
      <c r="F179" s="1">
        <v>42005</v>
      </c>
      <c r="G179">
        <v>1</v>
      </c>
      <c r="H179" t="s">
        <v>227</v>
      </c>
      <c r="I179" s="1">
        <v>42005</v>
      </c>
      <c r="J179" s="1">
        <v>42050</v>
      </c>
      <c r="K179">
        <v>100</v>
      </c>
      <c r="L179">
        <v>45</v>
      </c>
      <c r="M179">
        <v>17</v>
      </c>
      <c r="N179">
        <v>45</v>
      </c>
      <c r="O179">
        <v>1</v>
      </c>
      <c r="P179">
        <v>0</v>
      </c>
      <c r="Q179">
        <v>1</v>
      </c>
      <c r="R179">
        <f>Table1_15[[#This Row],[peak_width_days]]-Table1_15[[#This Row],[time_to_peak_days]]</f>
        <v>28</v>
      </c>
    </row>
    <row r="180" spans="1:18" x14ac:dyDescent="0.3">
      <c r="A180" t="s">
        <v>11</v>
      </c>
      <c r="B180" t="s">
        <v>0</v>
      </c>
      <c r="C180" t="s">
        <v>231</v>
      </c>
      <c r="D180" t="s">
        <v>228</v>
      </c>
      <c r="E180">
        <v>2</v>
      </c>
      <c r="F180" s="1">
        <v>44013</v>
      </c>
      <c r="G180">
        <v>0.66669999999999996</v>
      </c>
      <c r="H180" t="s">
        <v>227</v>
      </c>
      <c r="I180" s="1">
        <v>43828</v>
      </c>
      <c r="J180" s="1">
        <v>44367</v>
      </c>
      <c r="K180">
        <v>100</v>
      </c>
      <c r="L180">
        <v>539</v>
      </c>
      <c r="M180">
        <v>210</v>
      </c>
      <c r="N180">
        <v>360</v>
      </c>
      <c r="O180">
        <v>1</v>
      </c>
      <c r="P180">
        <v>1</v>
      </c>
      <c r="Q180">
        <v>1</v>
      </c>
      <c r="R180">
        <f>Table1_15[[#This Row],[peak_width_days]]-Table1_15[[#This Row],[time_to_peak_days]]</f>
        <v>329</v>
      </c>
    </row>
    <row r="181" spans="1:18" x14ac:dyDescent="0.3">
      <c r="A181" t="s">
        <v>10</v>
      </c>
      <c r="B181" t="s">
        <v>0</v>
      </c>
      <c r="C181" t="s">
        <v>230</v>
      </c>
      <c r="D181" t="s">
        <v>228</v>
      </c>
      <c r="E181">
        <v>2</v>
      </c>
      <c r="F181" s="1">
        <v>45017</v>
      </c>
      <c r="G181">
        <v>1</v>
      </c>
      <c r="H181" t="s">
        <v>227</v>
      </c>
      <c r="I181" s="1">
        <v>44927</v>
      </c>
      <c r="J181" s="1">
        <v>45107</v>
      </c>
      <c r="K181">
        <v>100</v>
      </c>
      <c r="L181">
        <v>180</v>
      </c>
      <c r="M181">
        <v>93</v>
      </c>
      <c r="N181">
        <v>90</v>
      </c>
      <c r="O181">
        <v>1</v>
      </c>
      <c r="P181">
        <v>0</v>
      </c>
      <c r="Q181">
        <v>1</v>
      </c>
      <c r="R181">
        <f>Table1_15[[#This Row],[peak_width_days]]-Table1_15[[#This Row],[time_to_peak_days]]</f>
        <v>87</v>
      </c>
    </row>
    <row r="182" spans="1:18" x14ac:dyDescent="0.3">
      <c r="A182" t="s">
        <v>9</v>
      </c>
      <c r="B182" t="s">
        <v>0</v>
      </c>
      <c r="C182" t="s">
        <v>229</v>
      </c>
      <c r="D182" t="s">
        <v>228</v>
      </c>
      <c r="E182">
        <v>1</v>
      </c>
      <c r="F182" s="1">
        <v>42005</v>
      </c>
      <c r="G182">
        <v>0.61899999999999999</v>
      </c>
      <c r="H182" t="s">
        <v>227</v>
      </c>
      <c r="I182" s="1">
        <v>42005</v>
      </c>
      <c r="J182" s="1">
        <v>42050</v>
      </c>
      <c r="K182">
        <v>100</v>
      </c>
      <c r="L182">
        <v>45</v>
      </c>
      <c r="M182">
        <v>0</v>
      </c>
      <c r="N182">
        <v>45</v>
      </c>
      <c r="O182">
        <v>1</v>
      </c>
      <c r="P182">
        <v>0</v>
      </c>
      <c r="Q182">
        <v>1</v>
      </c>
      <c r="R182">
        <f>Table1_15[[#This Row],[peak_width_days]]-Table1_15[[#This Row],[time_to_peak_days]]</f>
        <v>45</v>
      </c>
    </row>
    <row r="183" spans="1:18" x14ac:dyDescent="0.3">
      <c r="A183" t="s">
        <v>9</v>
      </c>
      <c r="B183" t="s">
        <v>0</v>
      </c>
      <c r="C183" t="s">
        <v>231</v>
      </c>
      <c r="D183" t="s">
        <v>228</v>
      </c>
      <c r="E183">
        <v>2</v>
      </c>
      <c r="F183" s="1">
        <v>44197</v>
      </c>
      <c r="G183">
        <v>0.90480000000000005</v>
      </c>
      <c r="H183" t="s">
        <v>227</v>
      </c>
      <c r="I183" s="1">
        <v>43828</v>
      </c>
      <c r="J183" s="1">
        <v>44913</v>
      </c>
      <c r="K183">
        <v>100</v>
      </c>
      <c r="L183">
        <v>1085</v>
      </c>
      <c r="M183">
        <v>357</v>
      </c>
      <c r="N183">
        <v>720</v>
      </c>
      <c r="O183">
        <v>1</v>
      </c>
      <c r="P183">
        <v>1</v>
      </c>
      <c r="Q183">
        <v>1</v>
      </c>
      <c r="R183">
        <f>Table1_15[[#This Row],[peak_width_days]]-Table1_15[[#This Row],[time_to_peak_days]]</f>
        <v>728</v>
      </c>
    </row>
    <row r="184" spans="1:18" x14ac:dyDescent="0.3">
      <c r="A184" t="s">
        <v>9</v>
      </c>
      <c r="B184" t="s">
        <v>0</v>
      </c>
      <c r="C184" t="s">
        <v>230</v>
      </c>
      <c r="D184" t="s">
        <v>228</v>
      </c>
      <c r="E184">
        <v>3</v>
      </c>
      <c r="F184" s="1">
        <v>46143</v>
      </c>
      <c r="G184">
        <v>1</v>
      </c>
      <c r="H184" t="s">
        <v>227</v>
      </c>
      <c r="I184" s="1">
        <v>45963</v>
      </c>
      <c r="J184" s="1">
        <v>46278</v>
      </c>
      <c r="K184">
        <v>100</v>
      </c>
      <c r="L184">
        <v>315</v>
      </c>
      <c r="M184">
        <v>245</v>
      </c>
      <c r="N184">
        <v>180</v>
      </c>
      <c r="O184">
        <v>1</v>
      </c>
      <c r="P184">
        <v>1</v>
      </c>
      <c r="Q184">
        <v>1</v>
      </c>
      <c r="R184">
        <f>Table1_15[[#This Row],[peak_width_days]]-Table1_15[[#This Row],[time_to_peak_days]]</f>
        <v>70</v>
      </c>
    </row>
    <row r="185" spans="1:18" x14ac:dyDescent="0.3">
      <c r="A185" t="s">
        <v>8</v>
      </c>
      <c r="B185" t="s">
        <v>0</v>
      </c>
      <c r="C185" t="s">
        <v>229</v>
      </c>
      <c r="D185" t="s">
        <v>228</v>
      </c>
      <c r="E185">
        <v>1</v>
      </c>
      <c r="F185" s="1">
        <v>43435</v>
      </c>
      <c r="G185">
        <v>0.50719999999999998</v>
      </c>
      <c r="H185" t="s">
        <v>227</v>
      </c>
      <c r="I185" s="1">
        <v>42715</v>
      </c>
      <c r="J185" s="1">
        <v>43828</v>
      </c>
      <c r="K185">
        <v>100</v>
      </c>
      <c r="L185">
        <v>1113</v>
      </c>
      <c r="M185">
        <v>742</v>
      </c>
      <c r="N185">
        <v>720</v>
      </c>
      <c r="O185">
        <v>1</v>
      </c>
      <c r="P185">
        <v>1</v>
      </c>
      <c r="Q185">
        <v>1</v>
      </c>
      <c r="R185">
        <f>Table1_15[[#This Row],[peak_width_days]]-Table1_15[[#This Row],[time_to_peak_days]]</f>
        <v>371</v>
      </c>
    </row>
    <row r="186" spans="1:18" x14ac:dyDescent="0.3">
      <c r="A186" t="s">
        <v>8</v>
      </c>
      <c r="B186" t="s">
        <v>0</v>
      </c>
      <c r="C186" t="s">
        <v>231</v>
      </c>
      <c r="D186" t="s">
        <v>228</v>
      </c>
      <c r="E186">
        <v>2</v>
      </c>
      <c r="F186" s="1">
        <v>44317</v>
      </c>
      <c r="G186">
        <v>1</v>
      </c>
      <c r="H186" t="s">
        <v>227</v>
      </c>
      <c r="I186" s="1">
        <v>43828</v>
      </c>
      <c r="J186" s="1">
        <v>44920</v>
      </c>
      <c r="K186">
        <v>100</v>
      </c>
      <c r="L186">
        <v>1092</v>
      </c>
      <c r="M186">
        <v>595</v>
      </c>
      <c r="N186">
        <v>720</v>
      </c>
      <c r="O186">
        <v>1</v>
      </c>
      <c r="P186">
        <v>1</v>
      </c>
      <c r="Q186">
        <v>1</v>
      </c>
      <c r="R186">
        <f>Table1_15[[#This Row],[peak_width_days]]-Table1_15[[#This Row],[time_to_peak_days]]</f>
        <v>497</v>
      </c>
    </row>
    <row r="187" spans="1:18" x14ac:dyDescent="0.3">
      <c r="A187" t="s">
        <v>8</v>
      </c>
      <c r="B187" t="s">
        <v>0</v>
      </c>
      <c r="C187" t="s">
        <v>230</v>
      </c>
      <c r="D187" t="s">
        <v>228</v>
      </c>
      <c r="E187">
        <v>3</v>
      </c>
      <c r="F187" s="1">
        <v>45992</v>
      </c>
      <c r="G187">
        <v>0.6522</v>
      </c>
      <c r="H187" t="s">
        <v>227</v>
      </c>
      <c r="I187" s="1">
        <v>45627</v>
      </c>
      <c r="J187" s="1">
        <v>46278</v>
      </c>
      <c r="K187">
        <v>100</v>
      </c>
      <c r="L187">
        <v>651</v>
      </c>
      <c r="M187">
        <v>385</v>
      </c>
      <c r="N187">
        <v>360</v>
      </c>
      <c r="O187">
        <v>1</v>
      </c>
      <c r="P187">
        <v>1</v>
      </c>
      <c r="Q187">
        <v>1</v>
      </c>
      <c r="R187">
        <f>Table1_15[[#This Row],[peak_width_days]]-Table1_15[[#This Row],[time_to_peak_days]]</f>
        <v>266</v>
      </c>
    </row>
    <row r="188" spans="1:18" x14ac:dyDescent="0.3">
      <c r="A188" t="s">
        <v>6</v>
      </c>
      <c r="B188" t="s">
        <v>0</v>
      </c>
      <c r="C188" t="s">
        <v>229</v>
      </c>
      <c r="D188" t="s">
        <v>228</v>
      </c>
      <c r="E188">
        <v>1</v>
      </c>
      <c r="F188" s="1">
        <v>42522</v>
      </c>
      <c r="G188">
        <v>1</v>
      </c>
      <c r="H188" t="s">
        <v>227</v>
      </c>
      <c r="I188" s="1">
        <v>42085</v>
      </c>
      <c r="J188" s="1">
        <v>43828</v>
      </c>
      <c r="K188">
        <v>100</v>
      </c>
      <c r="L188">
        <v>1743</v>
      </c>
      <c r="M188">
        <v>147</v>
      </c>
      <c r="N188">
        <v>1440</v>
      </c>
      <c r="O188">
        <v>1</v>
      </c>
      <c r="P188">
        <v>1</v>
      </c>
      <c r="Q188">
        <v>1</v>
      </c>
      <c r="R188">
        <f>Table1_15[[#This Row],[peak_width_days]]-Table1_15[[#This Row],[time_to_peak_days]]</f>
        <v>1596</v>
      </c>
    </row>
    <row r="189" spans="1:18" x14ac:dyDescent="0.3">
      <c r="A189" t="s">
        <v>6</v>
      </c>
      <c r="B189" t="s">
        <v>0</v>
      </c>
      <c r="C189" t="s">
        <v>231</v>
      </c>
      <c r="D189" t="s">
        <v>228</v>
      </c>
      <c r="E189">
        <v>2</v>
      </c>
      <c r="F189" s="1">
        <v>44013</v>
      </c>
      <c r="G189">
        <v>0.67</v>
      </c>
      <c r="H189" t="s">
        <v>227</v>
      </c>
      <c r="I189" s="1">
        <v>43828</v>
      </c>
      <c r="J189" s="1">
        <v>44367</v>
      </c>
      <c r="K189">
        <v>100</v>
      </c>
      <c r="L189">
        <v>539</v>
      </c>
      <c r="M189">
        <v>245</v>
      </c>
      <c r="N189">
        <v>360</v>
      </c>
      <c r="O189">
        <v>1</v>
      </c>
      <c r="P189">
        <v>1</v>
      </c>
      <c r="Q189">
        <v>1</v>
      </c>
      <c r="R189">
        <f>Table1_15[[#This Row],[peak_width_days]]-Table1_15[[#This Row],[time_to_peak_days]]</f>
        <v>294</v>
      </c>
    </row>
    <row r="190" spans="1:18" x14ac:dyDescent="0.3">
      <c r="A190" t="s">
        <v>6</v>
      </c>
      <c r="B190" t="s">
        <v>0</v>
      </c>
      <c r="C190" t="s">
        <v>230</v>
      </c>
      <c r="D190" t="s">
        <v>228</v>
      </c>
      <c r="E190">
        <v>3</v>
      </c>
      <c r="F190" s="1">
        <v>45444</v>
      </c>
      <c r="G190">
        <v>0.76</v>
      </c>
      <c r="H190" t="s">
        <v>227</v>
      </c>
      <c r="I190" s="1">
        <v>44927</v>
      </c>
      <c r="J190" s="1">
        <v>46159</v>
      </c>
      <c r="K190">
        <v>100</v>
      </c>
      <c r="L190">
        <v>1232</v>
      </c>
      <c r="M190">
        <v>266</v>
      </c>
      <c r="N190">
        <v>720</v>
      </c>
      <c r="O190">
        <v>1</v>
      </c>
      <c r="P190">
        <v>1</v>
      </c>
      <c r="Q190">
        <v>1</v>
      </c>
      <c r="R190">
        <f>Table1_15[[#This Row],[peak_width_days]]-Table1_15[[#This Row],[time_to_peak_days]]</f>
        <v>966</v>
      </c>
    </row>
    <row r="191" spans="1:18" x14ac:dyDescent="0.3">
      <c r="A191" t="s">
        <v>5</v>
      </c>
      <c r="B191" t="s">
        <v>0</v>
      </c>
      <c r="C191" t="s">
        <v>229</v>
      </c>
      <c r="D191" t="s">
        <v>228</v>
      </c>
      <c r="E191">
        <v>1</v>
      </c>
      <c r="F191" s="1">
        <v>42125</v>
      </c>
      <c r="G191">
        <v>1</v>
      </c>
      <c r="H191" t="s">
        <v>250</v>
      </c>
      <c r="I191" s="1">
        <v>42001</v>
      </c>
      <c r="J191" s="1">
        <v>42302</v>
      </c>
      <c r="K191">
        <v>100</v>
      </c>
      <c r="L191">
        <v>301</v>
      </c>
      <c r="M191">
        <v>126</v>
      </c>
      <c r="N191">
        <v>180</v>
      </c>
      <c r="O191">
        <v>1</v>
      </c>
      <c r="P191">
        <v>1</v>
      </c>
      <c r="Q191">
        <v>1</v>
      </c>
      <c r="R191">
        <f>Table1_15[[#This Row],[peak_width_days]]-Table1_15[[#This Row],[time_to_peak_days]]</f>
        <v>175</v>
      </c>
    </row>
    <row r="192" spans="1:18" x14ac:dyDescent="0.3">
      <c r="A192" t="s">
        <v>4</v>
      </c>
      <c r="B192" t="s">
        <v>0</v>
      </c>
      <c r="C192" t="s">
        <v>230</v>
      </c>
      <c r="D192" t="s">
        <v>228</v>
      </c>
      <c r="E192">
        <v>1</v>
      </c>
      <c r="F192" s="1">
        <v>46054</v>
      </c>
      <c r="G192">
        <v>1</v>
      </c>
      <c r="H192" t="s">
        <v>227</v>
      </c>
      <c r="I192" s="1">
        <v>45690</v>
      </c>
      <c r="J192" s="1">
        <v>46278</v>
      </c>
      <c r="K192">
        <v>100</v>
      </c>
      <c r="L192">
        <v>588</v>
      </c>
      <c r="M192">
        <v>378</v>
      </c>
      <c r="N192">
        <v>360</v>
      </c>
      <c r="O192">
        <v>1</v>
      </c>
      <c r="P192">
        <v>1</v>
      </c>
      <c r="Q192">
        <v>1</v>
      </c>
      <c r="R192">
        <f>Table1_15[[#This Row],[peak_width_days]]-Table1_15[[#This Row],[time_to_peak_days]]</f>
        <v>210</v>
      </c>
    </row>
    <row r="193" spans="1:18" x14ac:dyDescent="0.3">
      <c r="A193" t="s">
        <v>3</v>
      </c>
      <c r="B193" t="s">
        <v>0</v>
      </c>
      <c r="C193" t="s">
        <v>231</v>
      </c>
      <c r="D193" t="s">
        <v>228</v>
      </c>
      <c r="E193">
        <v>2</v>
      </c>
      <c r="F193" s="1">
        <v>43831</v>
      </c>
      <c r="G193">
        <v>1</v>
      </c>
      <c r="H193" t="s">
        <v>227</v>
      </c>
      <c r="I193" s="1">
        <v>43831</v>
      </c>
      <c r="J193" s="1">
        <v>43876</v>
      </c>
      <c r="K193">
        <v>100</v>
      </c>
      <c r="L193">
        <v>45</v>
      </c>
      <c r="M193">
        <v>18</v>
      </c>
      <c r="N193">
        <v>45</v>
      </c>
      <c r="O193">
        <v>1</v>
      </c>
      <c r="P193">
        <v>0</v>
      </c>
      <c r="Q193">
        <v>1</v>
      </c>
      <c r="R193">
        <f>Table1_15[[#This Row],[peak_width_days]]-Table1_15[[#This Row],[time_to_peak_days]]</f>
        <v>27</v>
      </c>
    </row>
    <row r="194" spans="1:18" x14ac:dyDescent="0.3">
      <c r="A194" t="s">
        <v>3</v>
      </c>
      <c r="B194" t="s">
        <v>0</v>
      </c>
      <c r="C194" t="s">
        <v>230</v>
      </c>
      <c r="D194" t="s">
        <v>228</v>
      </c>
      <c r="E194">
        <v>3</v>
      </c>
      <c r="F194" s="1">
        <v>44927</v>
      </c>
      <c r="G194">
        <v>1</v>
      </c>
      <c r="H194" t="s">
        <v>227</v>
      </c>
      <c r="I194" s="1">
        <v>44927</v>
      </c>
      <c r="J194" s="1">
        <v>44972</v>
      </c>
      <c r="K194">
        <v>100</v>
      </c>
      <c r="L194">
        <v>45</v>
      </c>
      <c r="M194">
        <v>35</v>
      </c>
      <c r="N194">
        <v>45</v>
      </c>
      <c r="O194">
        <v>1</v>
      </c>
      <c r="P194">
        <v>0</v>
      </c>
      <c r="Q194">
        <v>1</v>
      </c>
      <c r="R194">
        <f>Table1_15[[#This Row],[peak_width_days]]-Table1_15[[#This Row],[time_to_peak_days]]</f>
        <v>10</v>
      </c>
    </row>
    <row r="195" spans="1:18" x14ac:dyDescent="0.3">
      <c r="A195" t="s">
        <v>2</v>
      </c>
      <c r="B195" t="s">
        <v>0</v>
      </c>
      <c r="C195" t="s">
        <v>229</v>
      </c>
      <c r="D195" t="s">
        <v>228</v>
      </c>
      <c r="E195">
        <v>1</v>
      </c>
      <c r="F195" s="1">
        <v>42278</v>
      </c>
      <c r="G195">
        <v>1</v>
      </c>
      <c r="H195" t="s">
        <v>227</v>
      </c>
      <c r="I195" s="1">
        <v>42001</v>
      </c>
      <c r="J195" s="1">
        <v>42638</v>
      </c>
      <c r="K195">
        <v>100</v>
      </c>
      <c r="L195">
        <v>637</v>
      </c>
      <c r="M195">
        <v>301</v>
      </c>
      <c r="N195">
        <v>360</v>
      </c>
      <c r="O195">
        <v>1</v>
      </c>
      <c r="P195">
        <v>1</v>
      </c>
      <c r="Q195">
        <v>1</v>
      </c>
      <c r="R195">
        <f>Table1_15[[#This Row],[peak_width_days]]-Table1_15[[#This Row],[time_to_peak_days]]</f>
        <v>336</v>
      </c>
    </row>
    <row r="196" spans="1:18" x14ac:dyDescent="0.3">
      <c r="A196" t="s">
        <v>2</v>
      </c>
      <c r="B196" t="s">
        <v>0</v>
      </c>
      <c r="C196" t="s">
        <v>231</v>
      </c>
      <c r="D196" t="s">
        <v>228</v>
      </c>
      <c r="E196">
        <v>2</v>
      </c>
      <c r="F196" s="1">
        <v>44835</v>
      </c>
      <c r="G196">
        <v>0.91</v>
      </c>
      <c r="H196" t="s">
        <v>227</v>
      </c>
      <c r="I196" s="1">
        <v>44654</v>
      </c>
      <c r="J196" s="1">
        <v>44920</v>
      </c>
      <c r="K196">
        <v>100</v>
      </c>
      <c r="L196">
        <v>266</v>
      </c>
      <c r="M196">
        <v>203</v>
      </c>
      <c r="N196">
        <v>180</v>
      </c>
      <c r="O196">
        <v>1</v>
      </c>
      <c r="P196">
        <v>1</v>
      </c>
      <c r="Q196">
        <v>1</v>
      </c>
      <c r="R196">
        <f>Table1_15[[#This Row],[peak_width_days]]-Table1_15[[#This Row],[time_to_peak_days]]</f>
        <v>63</v>
      </c>
    </row>
    <row r="197" spans="1:18" x14ac:dyDescent="0.3">
      <c r="A197" t="s">
        <v>2</v>
      </c>
      <c r="B197" t="s">
        <v>0</v>
      </c>
      <c r="C197" t="s">
        <v>230</v>
      </c>
      <c r="D197" t="s">
        <v>228</v>
      </c>
      <c r="E197">
        <v>3</v>
      </c>
      <c r="F197" s="1">
        <v>45931</v>
      </c>
      <c r="G197">
        <v>0.95</v>
      </c>
      <c r="H197" t="s">
        <v>227</v>
      </c>
      <c r="I197" s="1">
        <v>45571</v>
      </c>
      <c r="J197" s="1">
        <v>46278</v>
      </c>
      <c r="K197">
        <v>100</v>
      </c>
      <c r="L197">
        <v>707</v>
      </c>
      <c r="M197">
        <v>385</v>
      </c>
      <c r="N197">
        <v>360</v>
      </c>
      <c r="O197">
        <v>1</v>
      </c>
      <c r="P197">
        <v>1</v>
      </c>
      <c r="Q197">
        <v>1</v>
      </c>
      <c r="R197">
        <f>Table1_15[[#This Row],[peak_width_days]]-Table1_15[[#This Row],[time_to_peak_days]]</f>
        <v>322</v>
      </c>
    </row>
    <row r="198" spans="1:18" x14ac:dyDescent="0.3">
      <c r="A198" t="s">
        <v>1</v>
      </c>
      <c r="B198" t="s">
        <v>0</v>
      </c>
      <c r="C198" t="s">
        <v>229</v>
      </c>
      <c r="D198" t="s">
        <v>228</v>
      </c>
      <c r="E198">
        <v>1</v>
      </c>
      <c r="F198" s="1">
        <v>42064</v>
      </c>
      <c r="G198">
        <v>0.92</v>
      </c>
      <c r="H198" t="s">
        <v>227</v>
      </c>
      <c r="I198" s="1">
        <v>42005</v>
      </c>
      <c r="J198" s="1">
        <v>42154</v>
      </c>
      <c r="K198">
        <v>100</v>
      </c>
      <c r="L198">
        <v>149</v>
      </c>
      <c r="M198">
        <v>18</v>
      </c>
      <c r="N198">
        <v>90</v>
      </c>
      <c r="O198">
        <v>1</v>
      </c>
      <c r="P198">
        <v>0</v>
      </c>
      <c r="Q198">
        <v>1</v>
      </c>
      <c r="R198">
        <f>Table1_15[[#This Row],[peak_width_days]]-Table1_15[[#This Row],[time_to_peak_days]]</f>
        <v>131</v>
      </c>
    </row>
    <row r="199" spans="1:18" x14ac:dyDescent="0.3">
      <c r="A199" t="s">
        <v>1</v>
      </c>
      <c r="B199" t="s">
        <v>0</v>
      </c>
      <c r="C199" t="s">
        <v>230</v>
      </c>
      <c r="D199" t="s">
        <v>228</v>
      </c>
      <c r="E199">
        <v>3</v>
      </c>
      <c r="F199" s="1">
        <v>46266</v>
      </c>
      <c r="G199">
        <v>1</v>
      </c>
      <c r="H199" t="s">
        <v>227</v>
      </c>
      <c r="I199" s="1">
        <v>46221</v>
      </c>
      <c r="J199" s="1">
        <v>46280</v>
      </c>
      <c r="K199">
        <v>100</v>
      </c>
      <c r="L199">
        <v>59</v>
      </c>
      <c r="M199">
        <v>54</v>
      </c>
      <c r="N199">
        <v>45</v>
      </c>
      <c r="O199">
        <v>1</v>
      </c>
      <c r="P199">
        <v>0</v>
      </c>
      <c r="Q199">
        <v>1</v>
      </c>
      <c r="R199">
        <f>Table1_15[[#This Row],[peak_width_days]]-Table1_15[[#This Row],[time_to_peak_days]]</f>
        <v>5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D958A0-678D-4A1C-967B-D2F25A495D3D}">
  <dimension ref="A1:AD117"/>
  <sheetViews>
    <sheetView workbookViewId="0">
      <selection activeCell="G23" sqref="G23"/>
    </sheetView>
  </sheetViews>
  <sheetFormatPr defaultRowHeight="14.4" x14ac:dyDescent="0.3"/>
  <cols>
    <col min="1" max="1" width="42.109375" bestFit="1" customWidth="1"/>
    <col min="2" max="2" width="13.77734375" bestFit="1" customWidth="1"/>
    <col min="3" max="3" width="10.5546875" bestFit="1" customWidth="1"/>
    <col min="4" max="4" width="16.88671875" bestFit="1" customWidth="1"/>
    <col min="5" max="5" width="20.5546875" bestFit="1" customWidth="1"/>
    <col min="6" max="6" width="20.77734375" bestFit="1" customWidth="1"/>
    <col min="7" max="7" width="21" bestFit="1" customWidth="1"/>
    <col min="8" max="8" width="24.5546875" bestFit="1" customWidth="1"/>
    <col min="9" max="9" width="24.88671875" bestFit="1" customWidth="1"/>
    <col min="10" max="10" width="21" bestFit="1" customWidth="1"/>
    <col min="11" max="11" width="24.5546875" bestFit="1" customWidth="1"/>
    <col min="12" max="12" width="24.88671875" bestFit="1" customWidth="1"/>
    <col min="13" max="13" width="24.6640625" bestFit="1" customWidth="1"/>
    <col min="14" max="14" width="28.33203125" bestFit="1" customWidth="1"/>
    <col min="15" max="15" width="28.5546875" bestFit="1" customWidth="1"/>
    <col min="16" max="16" width="18.5546875" bestFit="1" customWidth="1"/>
    <col min="17" max="17" width="22.21875" bestFit="1" customWidth="1"/>
    <col min="18" max="18" width="22.44140625" bestFit="1" customWidth="1"/>
    <col min="19" max="19" width="16.88671875" bestFit="1" customWidth="1"/>
    <col min="20" max="20" width="20.5546875" bestFit="1" customWidth="1"/>
    <col min="21" max="21" width="20.77734375" bestFit="1" customWidth="1"/>
    <col min="22" max="22" width="20.6640625" bestFit="1" customWidth="1"/>
    <col min="23" max="23" width="24.33203125" bestFit="1" customWidth="1"/>
    <col min="24" max="24" width="24.5546875" bestFit="1" customWidth="1"/>
    <col min="25" max="25" width="21" bestFit="1" customWidth="1"/>
    <col min="26" max="26" width="24.5546875" bestFit="1" customWidth="1"/>
    <col min="27" max="27" width="24.88671875" bestFit="1" customWidth="1"/>
    <col min="28" max="28" width="16.109375" bestFit="1" customWidth="1"/>
    <col min="29" max="29" width="19.6640625" bestFit="1" customWidth="1"/>
    <col min="30" max="30" width="20" bestFit="1" customWidth="1"/>
  </cols>
  <sheetData>
    <row r="1" spans="1:30" x14ac:dyDescent="0.3">
      <c r="A1" t="s">
        <v>123</v>
      </c>
      <c r="B1" t="s">
        <v>122</v>
      </c>
      <c r="C1" t="s">
        <v>249</v>
      </c>
      <c r="D1" t="s">
        <v>277</v>
      </c>
      <c r="E1" t="s">
        <v>276</v>
      </c>
      <c r="F1" t="s">
        <v>275</v>
      </c>
      <c r="G1" t="s">
        <v>274</v>
      </c>
      <c r="H1" t="s">
        <v>273</v>
      </c>
      <c r="I1" t="s">
        <v>272</v>
      </c>
      <c r="J1" t="s">
        <v>271</v>
      </c>
      <c r="K1" t="s">
        <v>270</v>
      </c>
      <c r="L1" t="s">
        <v>269</v>
      </c>
      <c r="M1" t="s">
        <v>268</v>
      </c>
      <c r="N1" t="s">
        <v>267</v>
      </c>
      <c r="O1" t="s">
        <v>266</v>
      </c>
      <c r="P1" t="s">
        <v>265</v>
      </c>
      <c r="Q1" t="s">
        <v>264</v>
      </c>
      <c r="R1" t="s">
        <v>263</v>
      </c>
      <c r="S1" t="s">
        <v>262</v>
      </c>
      <c r="T1" t="s">
        <v>261</v>
      </c>
      <c r="U1" t="s">
        <v>260</v>
      </c>
      <c r="V1" t="s">
        <v>259</v>
      </c>
      <c r="W1" t="s">
        <v>258</v>
      </c>
      <c r="X1" t="s">
        <v>257</v>
      </c>
      <c r="Y1" t="s">
        <v>256</v>
      </c>
      <c r="Z1" t="s">
        <v>255</v>
      </c>
      <c r="AA1" t="s">
        <v>254</v>
      </c>
      <c r="AB1" t="s">
        <v>253</v>
      </c>
      <c r="AC1" t="s">
        <v>252</v>
      </c>
      <c r="AD1" t="s">
        <v>251</v>
      </c>
    </row>
    <row r="2" spans="1:30" x14ac:dyDescent="0.3">
      <c r="A2" t="s">
        <v>198</v>
      </c>
      <c r="B2" t="s">
        <v>196</v>
      </c>
      <c r="C2" t="s">
        <v>230</v>
      </c>
      <c r="D2">
        <v>500</v>
      </c>
      <c r="E2">
        <v>367</v>
      </c>
      <c r="F2">
        <v>133</v>
      </c>
      <c r="G2">
        <v>464</v>
      </c>
      <c r="H2">
        <v>337</v>
      </c>
      <c r="I2">
        <v>127</v>
      </c>
      <c r="J2">
        <v>36</v>
      </c>
      <c r="K2">
        <v>30</v>
      </c>
      <c r="L2">
        <v>6</v>
      </c>
      <c r="M2">
        <v>92.8</v>
      </c>
      <c r="N2">
        <v>91.8</v>
      </c>
      <c r="O2">
        <v>95.5</v>
      </c>
      <c r="P2">
        <v>493220</v>
      </c>
      <c r="Q2">
        <v>608868</v>
      </c>
      <c r="R2">
        <v>415334</v>
      </c>
      <c r="S2">
        <v>3783101</v>
      </c>
      <c r="T2">
        <v>4691613</v>
      </c>
      <c r="U2">
        <v>1276155</v>
      </c>
      <c r="V2">
        <v>2</v>
      </c>
      <c r="W2">
        <v>2</v>
      </c>
      <c r="X2">
        <v>3</v>
      </c>
      <c r="Y2">
        <v>152989509</v>
      </c>
      <c r="Z2">
        <v>152989509</v>
      </c>
      <c r="AA2">
        <v>36884855</v>
      </c>
      <c r="AB2">
        <v>1891550500</v>
      </c>
      <c r="AC2">
        <v>1721821971</v>
      </c>
      <c r="AD2">
        <v>169728615</v>
      </c>
    </row>
    <row r="3" spans="1:30" x14ac:dyDescent="0.3">
      <c r="A3" t="s">
        <v>136</v>
      </c>
      <c r="B3" t="s">
        <v>124</v>
      </c>
      <c r="C3" t="s">
        <v>229</v>
      </c>
      <c r="D3">
        <v>217</v>
      </c>
      <c r="E3">
        <v>102</v>
      </c>
      <c r="F3">
        <v>115</v>
      </c>
      <c r="G3">
        <v>134</v>
      </c>
      <c r="H3">
        <v>61</v>
      </c>
      <c r="I3">
        <v>73</v>
      </c>
      <c r="J3">
        <v>83</v>
      </c>
      <c r="K3">
        <v>41</v>
      </c>
      <c r="L3">
        <v>42</v>
      </c>
      <c r="M3">
        <v>61.8</v>
      </c>
      <c r="N3">
        <v>59.8</v>
      </c>
      <c r="O3">
        <v>63.5</v>
      </c>
      <c r="P3">
        <v>1965</v>
      </c>
      <c r="Q3">
        <v>1609</v>
      </c>
      <c r="R3">
        <v>3359</v>
      </c>
      <c r="S3">
        <v>787921</v>
      </c>
      <c r="T3">
        <v>1467317</v>
      </c>
      <c r="U3">
        <v>185327</v>
      </c>
      <c r="V3">
        <v>18</v>
      </c>
      <c r="W3">
        <v>18</v>
      </c>
      <c r="X3">
        <v>31</v>
      </c>
      <c r="Y3">
        <v>123655975</v>
      </c>
      <c r="Z3">
        <v>123655975</v>
      </c>
      <c r="AA3">
        <v>6026775</v>
      </c>
      <c r="AB3">
        <v>170978857</v>
      </c>
      <c r="AC3">
        <v>149666334</v>
      </c>
      <c r="AD3">
        <v>21312605</v>
      </c>
    </row>
    <row r="4" spans="1:30" x14ac:dyDescent="0.3">
      <c r="A4" t="s">
        <v>151</v>
      </c>
      <c r="B4" t="s">
        <v>142</v>
      </c>
      <c r="C4" t="s">
        <v>231</v>
      </c>
      <c r="D4">
        <v>487</v>
      </c>
      <c r="E4">
        <v>284</v>
      </c>
      <c r="F4">
        <v>203</v>
      </c>
      <c r="G4">
        <v>269</v>
      </c>
      <c r="H4">
        <v>138</v>
      </c>
      <c r="I4">
        <v>131</v>
      </c>
      <c r="J4">
        <v>218</v>
      </c>
      <c r="K4">
        <v>146</v>
      </c>
      <c r="L4">
        <v>72</v>
      </c>
      <c r="M4">
        <v>55.2</v>
      </c>
      <c r="N4">
        <v>48.6</v>
      </c>
      <c r="O4">
        <v>64.5</v>
      </c>
      <c r="P4">
        <v>1439</v>
      </c>
      <c r="Q4">
        <v>839</v>
      </c>
      <c r="R4">
        <v>2991</v>
      </c>
      <c r="S4">
        <v>225928</v>
      </c>
      <c r="T4">
        <v>184605</v>
      </c>
      <c r="U4">
        <v>283740</v>
      </c>
      <c r="V4">
        <v>4</v>
      </c>
      <c r="W4">
        <v>4</v>
      </c>
      <c r="X4">
        <v>22</v>
      </c>
      <c r="Y4">
        <v>29216276</v>
      </c>
      <c r="Z4">
        <v>18286515</v>
      </c>
      <c r="AA4">
        <v>29216276</v>
      </c>
      <c r="AB4">
        <v>110026936</v>
      </c>
      <c r="AC4">
        <v>52427820</v>
      </c>
      <c r="AD4">
        <v>57599220</v>
      </c>
    </row>
    <row r="5" spans="1:30" x14ac:dyDescent="0.3">
      <c r="A5" t="s">
        <v>226</v>
      </c>
      <c r="B5" t="s">
        <v>196</v>
      </c>
      <c r="C5" t="s">
        <v>229</v>
      </c>
      <c r="D5">
        <v>461</v>
      </c>
      <c r="E5">
        <v>208</v>
      </c>
      <c r="F5">
        <v>253</v>
      </c>
      <c r="G5">
        <v>442</v>
      </c>
      <c r="H5">
        <v>197</v>
      </c>
      <c r="I5">
        <v>245</v>
      </c>
      <c r="J5">
        <v>19</v>
      </c>
      <c r="K5">
        <v>11</v>
      </c>
      <c r="L5">
        <v>8</v>
      </c>
      <c r="M5">
        <v>95.9</v>
      </c>
      <c r="N5">
        <v>94.7</v>
      </c>
      <c r="O5">
        <v>96.8</v>
      </c>
      <c r="P5">
        <v>291272</v>
      </c>
      <c r="Q5">
        <v>19721</v>
      </c>
      <c r="R5">
        <v>624227</v>
      </c>
      <c r="S5">
        <v>2244977</v>
      </c>
      <c r="T5">
        <v>1211575</v>
      </c>
      <c r="U5">
        <v>3094572</v>
      </c>
      <c r="V5">
        <v>26</v>
      </c>
      <c r="W5">
        <v>39</v>
      </c>
      <c r="X5">
        <v>26</v>
      </c>
      <c r="Y5">
        <v>72800632</v>
      </c>
      <c r="Z5">
        <v>45073203</v>
      </c>
      <c r="AA5">
        <v>72800632</v>
      </c>
      <c r="AB5">
        <v>1034934397</v>
      </c>
      <c r="AC5">
        <v>252007600</v>
      </c>
      <c r="AD5">
        <v>782926716</v>
      </c>
    </row>
    <row r="6" spans="1:30" x14ac:dyDescent="0.3">
      <c r="A6" t="s">
        <v>225</v>
      </c>
      <c r="B6" t="s">
        <v>196</v>
      </c>
      <c r="C6" t="s">
        <v>229</v>
      </c>
      <c r="D6">
        <v>469</v>
      </c>
      <c r="E6">
        <v>222</v>
      </c>
      <c r="F6">
        <v>247</v>
      </c>
      <c r="G6">
        <v>380</v>
      </c>
      <c r="H6">
        <v>144</v>
      </c>
      <c r="I6">
        <v>236</v>
      </c>
      <c r="J6">
        <v>89</v>
      </c>
      <c r="K6">
        <v>78</v>
      </c>
      <c r="L6">
        <v>11</v>
      </c>
      <c r="M6">
        <v>81</v>
      </c>
      <c r="N6">
        <v>64.900000000000006</v>
      </c>
      <c r="O6">
        <v>95.5</v>
      </c>
      <c r="P6">
        <v>239966</v>
      </c>
      <c r="Q6">
        <v>9279</v>
      </c>
      <c r="R6">
        <v>601935</v>
      </c>
      <c r="S6">
        <v>2509942</v>
      </c>
      <c r="T6">
        <v>1917979</v>
      </c>
      <c r="U6">
        <v>3041989</v>
      </c>
      <c r="V6">
        <v>11</v>
      </c>
      <c r="W6">
        <v>11</v>
      </c>
      <c r="X6">
        <v>31</v>
      </c>
      <c r="Y6">
        <v>82731692</v>
      </c>
      <c r="Z6">
        <v>82731692</v>
      </c>
      <c r="AA6">
        <v>41302121</v>
      </c>
      <c r="AB6">
        <v>1177162798</v>
      </c>
      <c r="AC6">
        <v>425791338</v>
      </c>
      <c r="AD6">
        <v>751371283</v>
      </c>
    </row>
    <row r="7" spans="1:30" x14ac:dyDescent="0.3">
      <c r="A7" t="s">
        <v>141</v>
      </c>
      <c r="B7" t="s">
        <v>124</v>
      </c>
      <c r="C7" t="s">
        <v>231</v>
      </c>
      <c r="D7">
        <v>412</v>
      </c>
      <c r="E7">
        <v>287</v>
      </c>
      <c r="F7">
        <v>125</v>
      </c>
      <c r="G7">
        <v>266</v>
      </c>
      <c r="H7">
        <v>166</v>
      </c>
      <c r="I7">
        <v>100</v>
      </c>
      <c r="J7">
        <v>146</v>
      </c>
      <c r="K7">
        <v>121</v>
      </c>
      <c r="L7">
        <v>25</v>
      </c>
      <c r="M7">
        <v>64.599999999999994</v>
      </c>
      <c r="N7">
        <v>57.8</v>
      </c>
      <c r="O7">
        <v>80</v>
      </c>
      <c r="P7">
        <v>2237</v>
      </c>
      <c r="Q7">
        <v>1427</v>
      </c>
      <c r="R7">
        <v>36959</v>
      </c>
      <c r="S7">
        <v>314198</v>
      </c>
      <c r="T7">
        <v>392246</v>
      </c>
      <c r="U7">
        <v>134999</v>
      </c>
      <c r="V7">
        <v>5</v>
      </c>
      <c r="W7">
        <v>5</v>
      </c>
      <c r="X7">
        <v>5</v>
      </c>
      <c r="Y7">
        <v>26150693</v>
      </c>
      <c r="Z7">
        <v>26150693</v>
      </c>
      <c r="AA7">
        <v>1807347</v>
      </c>
      <c r="AB7">
        <v>129449576</v>
      </c>
      <c r="AC7">
        <v>112574602</v>
      </c>
      <c r="AD7">
        <v>16874875</v>
      </c>
    </row>
    <row r="8" spans="1:30" x14ac:dyDescent="0.3">
      <c r="A8" t="s">
        <v>175</v>
      </c>
      <c r="B8" t="s">
        <v>142</v>
      </c>
      <c r="C8" t="s">
        <v>230</v>
      </c>
      <c r="D8">
        <v>497</v>
      </c>
      <c r="E8">
        <v>322</v>
      </c>
      <c r="F8">
        <v>175</v>
      </c>
      <c r="G8">
        <v>441</v>
      </c>
      <c r="H8">
        <v>272</v>
      </c>
      <c r="I8">
        <v>169</v>
      </c>
      <c r="J8">
        <v>56</v>
      </c>
      <c r="K8">
        <v>50</v>
      </c>
      <c r="L8">
        <v>6</v>
      </c>
      <c r="M8">
        <v>88.7</v>
      </c>
      <c r="N8">
        <v>84.5</v>
      </c>
      <c r="O8">
        <v>96.6</v>
      </c>
      <c r="P8">
        <v>12765</v>
      </c>
      <c r="Q8">
        <v>8389</v>
      </c>
      <c r="R8">
        <v>37044</v>
      </c>
      <c r="S8">
        <v>132850</v>
      </c>
      <c r="T8">
        <v>99774</v>
      </c>
      <c r="U8">
        <v>193710</v>
      </c>
      <c r="V8">
        <v>0</v>
      </c>
      <c r="W8">
        <v>0</v>
      </c>
      <c r="X8">
        <v>2</v>
      </c>
      <c r="Y8">
        <v>6369704</v>
      </c>
      <c r="Z8">
        <v>6369704</v>
      </c>
      <c r="AA8">
        <v>3878125</v>
      </c>
      <c r="AB8">
        <v>66026450</v>
      </c>
      <c r="AC8">
        <v>32127228</v>
      </c>
      <c r="AD8">
        <v>33899250</v>
      </c>
    </row>
    <row r="9" spans="1:30" x14ac:dyDescent="0.3">
      <c r="A9" t="s">
        <v>224</v>
      </c>
      <c r="B9" t="s">
        <v>196</v>
      </c>
      <c r="C9" t="s">
        <v>230</v>
      </c>
      <c r="D9">
        <v>500</v>
      </c>
      <c r="E9">
        <v>339</v>
      </c>
      <c r="F9">
        <v>161</v>
      </c>
      <c r="G9">
        <v>425</v>
      </c>
      <c r="H9">
        <v>272</v>
      </c>
      <c r="I9">
        <v>153</v>
      </c>
      <c r="J9">
        <v>75</v>
      </c>
      <c r="K9">
        <v>67</v>
      </c>
      <c r="L9">
        <v>8</v>
      </c>
      <c r="M9">
        <v>85</v>
      </c>
      <c r="N9">
        <v>80.2</v>
      </c>
      <c r="O9">
        <v>95</v>
      </c>
      <c r="P9">
        <v>140060</v>
      </c>
      <c r="Q9">
        <v>108724</v>
      </c>
      <c r="R9">
        <v>182760</v>
      </c>
      <c r="S9">
        <v>9439497</v>
      </c>
      <c r="T9">
        <v>12523744</v>
      </c>
      <c r="U9">
        <v>2945337</v>
      </c>
      <c r="V9">
        <v>0</v>
      </c>
      <c r="W9">
        <v>0</v>
      </c>
      <c r="X9">
        <v>54</v>
      </c>
      <c r="Y9">
        <v>1793098655</v>
      </c>
      <c r="Z9">
        <v>1793098655</v>
      </c>
      <c r="AA9">
        <v>262643120</v>
      </c>
      <c r="AB9">
        <v>4719748500</v>
      </c>
      <c r="AC9">
        <v>4245549216</v>
      </c>
      <c r="AD9">
        <v>474199257</v>
      </c>
    </row>
    <row r="10" spans="1:30" x14ac:dyDescent="0.3">
      <c r="A10" t="s">
        <v>128</v>
      </c>
      <c r="B10" t="s">
        <v>124</v>
      </c>
      <c r="C10" t="s">
        <v>231</v>
      </c>
      <c r="D10">
        <v>16</v>
      </c>
      <c r="E10">
        <v>3</v>
      </c>
      <c r="F10">
        <v>13</v>
      </c>
      <c r="G10">
        <v>6</v>
      </c>
      <c r="H10">
        <v>2</v>
      </c>
      <c r="I10">
        <v>4</v>
      </c>
      <c r="J10">
        <v>10</v>
      </c>
      <c r="K10">
        <v>1</v>
      </c>
      <c r="L10">
        <v>9</v>
      </c>
      <c r="M10">
        <v>37.5</v>
      </c>
      <c r="N10">
        <v>66.7</v>
      </c>
      <c r="O10">
        <v>30.8</v>
      </c>
      <c r="P10">
        <v>462</v>
      </c>
      <c r="Q10">
        <v>8731</v>
      </c>
      <c r="R10">
        <v>351</v>
      </c>
      <c r="S10">
        <v>21591</v>
      </c>
      <c r="T10">
        <v>7071</v>
      </c>
      <c r="U10">
        <v>24942</v>
      </c>
      <c r="V10">
        <v>57</v>
      </c>
      <c r="W10">
        <v>184</v>
      </c>
      <c r="X10">
        <v>57</v>
      </c>
      <c r="Y10">
        <v>180612</v>
      </c>
      <c r="Z10">
        <v>12298</v>
      </c>
      <c r="AA10">
        <v>180612</v>
      </c>
      <c r="AB10">
        <v>345456</v>
      </c>
      <c r="AC10">
        <v>21213</v>
      </c>
      <c r="AD10">
        <v>324246</v>
      </c>
    </row>
    <row r="11" spans="1:30" x14ac:dyDescent="0.3">
      <c r="A11" t="s">
        <v>174</v>
      </c>
      <c r="B11" t="s">
        <v>142</v>
      </c>
      <c r="C11" t="s">
        <v>231</v>
      </c>
      <c r="D11">
        <v>481</v>
      </c>
      <c r="E11">
        <v>377</v>
      </c>
      <c r="F11">
        <v>104</v>
      </c>
      <c r="G11">
        <v>344</v>
      </c>
      <c r="H11">
        <v>254</v>
      </c>
      <c r="I11">
        <v>90</v>
      </c>
      <c r="J11">
        <v>137</v>
      </c>
      <c r="K11">
        <v>123</v>
      </c>
      <c r="L11">
        <v>14</v>
      </c>
      <c r="M11">
        <v>71.5</v>
      </c>
      <c r="N11">
        <v>67.400000000000006</v>
      </c>
      <c r="O11">
        <v>86.5</v>
      </c>
      <c r="P11">
        <v>17865</v>
      </c>
      <c r="Q11">
        <v>8111</v>
      </c>
      <c r="R11">
        <v>109937</v>
      </c>
      <c r="S11">
        <v>775254</v>
      </c>
      <c r="T11">
        <v>705086</v>
      </c>
      <c r="U11">
        <v>1029611</v>
      </c>
      <c r="V11">
        <v>4</v>
      </c>
      <c r="W11">
        <v>4</v>
      </c>
      <c r="X11">
        <v>35</v>
      </c>
      <c r="Y11">
        <v>21965363</v>
      </c>
      <c r="Z11">
        <v>21320029</v>
      </c>
      <c r="AA11">
        <v>21965363</v>
      </c>
      <c r="AB11">
        <v>372897174</v>
      </c>
      <c r="AC11">
        <v>265817422</v>
      </c>
      <c r="AD11">
        <v>107079544</v>
      </c>
    </row>
    <row r="12" spans="1:30" x14ac:dyDescent="0.3">
      <c r="A12" t="s">
        <v>131</v>
      </c>
      <c r="B12" t="s">
        <v>124</v>
      </c>
      <c r="C12" t="s">
        <v>231</v>
      </c>
      <c r="D12">
        <v>495</v>
      </c>
      <c r="E12">
        <v>330</v>
      </c>
      <c r="F12">
        <v>165</v>
      </c>
      <c r="G12">
        <v>99</v>
      </c>
      <c r="H12">
        <v>55</v>
      </c>
      <c r="I12">
        <v>44</v>
      </c>
      <c r="J12">
        <v>396</v>
      </c>
      <c r="K12">
        <v>275</v>
      </c>
      <c r="L12">
        <v>121</v>
      </c>
      <c r="M12">
        <v>20</v>
      </c>
      <c r="N12">
        <v>16.7</v>
      </c>
      <c r="O12">
        <v>26.7</v>
      </c>
      <c r="P12">
        <v>109</v>
      </c>
      <c r="Q12">
        <v>89</v>
      </c>
      <c r="R12">
        <v>137</v>
      </c>
      <c r="S12">
        <v>8958</v>
      </c>
      <c r="T12">
        <v>5637</v>
      </c>
      <c r="U12">
        <v>15599</v>
      </c>
      <c r="V12">
        <v>1</v>
      </c>
      <c r="W12">
        <v>1</v>
      </c>
      <c r="X12">
        <v>1</v>
      </c>
      <c r="Y12">
        <v>965620</v>
      </c>
      <c r="Z12">
        <v>390645</v>
      </c>
      <c r="AA12">
        <v>965620</v>
      </c>
      <c r="AB12">
        <v>4434210</v>
      </c>
      <c r="AC12">
        <v>1860210</v>
      </c>
      <c r="AD12">
        <v>2573835</v>
      </c>
    </row>
    <row r="13" spans="1:30" x14ac:dyDescent="0.3">
      <c r="A13" t="s">
        <v>213</v>
      </c>
      <c r="B13" t="s">
        <v>196</v>
      </c>
      <c r="C13" t="s">
        <v>229</v>
      </c>
      <c r="D13">
        <v>358</v>
      </c>
      <c r="E13">
        <v>184</v>
      </c>
      <c r="F13">
        <v>174</v>
      </c>
      <c r="G13">
        <v>269</v>
      </c>
      <c r="H13">
        <v>103</v>
      </c>
      <c r="I13">
        <v>166</v>
      </c>
      <c r="J13">
        <v>89</v>
      </c>
      <c r="K13">
        <v>81</v>
      </c>
      <c r="L13">
        <v>8</v>
      </c>
      <c r="M13">
        <v>75.099999999999994</v>
      </c>
      <c r="N13">
        <v>56</v>
      </c>
      <c r="O13">
        <v>95.4</v>
      </c>
      <c r="P13">
        <v>48773</v>
      </c>
      <c r="Q13">
        <v>2149</v>
      </c>
      <c r="R13">
        <v>183053</v>
      </c>
      <c r="S13">
        <v>1559055</v>
      </c>
      <c r="T13">
        <v>359835</v>
      </c>
      <c r="U13">
        <v>2827196</v>
      </c>
      <c r="V13">
        <v>4</v>
      </c>
      <c r="W13">
        <v>4</v>
      </c>
      <c r="X13">
        <v>36</v>
      </c>
      <c r="Y13">
        <v>300735541</v>
      </c>
      <c r="Z13">
        <v>8642896</v>
      </c>
      <c r="AA13">
        <v>300735541</v>
      </c>
      <c r="AB13">
        <v>558141690</v>
      </c>
      <c r="AC13">
        <v>66209640</v>
      </c>
      <c r="AD13">
        <v>491932104</v>
      </c>
    </row>
    <row r="14" spans="1:30" x14ac:dyDescent="0.3">
      <c r="A14" t="s">
        <v>181</v>
      </c>
      <c r="B14" t="s">
        <v>176</v>
      </c>
      <c r="C14" t="s">
        <v>231</v>
      </c>
      <c r="D14">
        <v>233</v>
      </c>
      <c r="E14">
        <v>181</v>
      </c>
      <c r="F14">
        <v>52</v>
      </c>
      <c r="G14">
        <v>86</v>
      </c>
      <c r="H14">
        <v>57</v>
      </c>
      <c r="I14">
        <v>29</v>
      </c>
      <c r="J14">
        <v>147</v>
      </c>
      <c r="K14">
        <v>124</v>
      </c>
      <c r="L14">
        <v>23</v>
      </c>
      <c r="M14">
        <v>36.9</v>
      </c>
      <c r="N14">
        <v>31.5</v>
      </c>
      <c r="O14">
        <v>55.8</v>
      </c>
      <c r="P14">
        <v>406</v>
      </c>
      <c r="Q14">
        <v>311</v>
      </c>
      <c r="R14">
        <v>1374</v>
      </c>
      <c r="S14">
        <v>113703</v>
      </c>
      <c r="T14">
        <v>125769</v>
      </c>
      <c r="U14">
        <v>71702</v>
      </c>
      <c r="V14">
        <v>0</v>
      </c>
      <c r="W14">
        <v>0</v>
      </c>
      <c r="X14">
        <v>72</v>
      </c>
      <c r="Y14">
        <v>18466068</v>
      </c>
      <c r="Z14">
        <v>18466068</v>
      </c>
      <c r="AA14">
        <v>1767152</v>
      </c>
      <c r="AB14">
        <v>26492799</v>
      </c>
      <c r="AC14">
        <v>22764189</v>
      </c>
      <c r="AD14">
        <v>3728504</v>
      </c>
    </row>
    <row r="15" spans="1:30" x14ac:dyDescent="0.3">
      <c r="A15" t="s">
        <v>209</v>
      </c>
      <c r="B15" t="s">
        <v>196</v>
      </c>
      <c r="C15" t="s">
        <v>229</v>
      </c>
      <c r="D15">
        <v>464</v>
      </c>
      <c r="E15">
        <v>213</v>
      </c>
      <c r="F15">
        <v>251</v>
      </c>
      <c r="G15">
        <v>426</v>
      </c>
      <c r="H15">
        <v>179</v>
      </c>
      <c r="I15">
        <v>247</v>
      </c>
      <c r="J15">
        <v>38</v>
      </c>
      <c r="K15">
        <v>34</v>
      </c>
      <c r="L15">
        <v>4</v>
      </c>
      <c r="M15">
        <v>91.8</v>
      </c>
      <c r="N15">
        <v>84</v>
      </c>
      <c r="O15">
        <v>98.4</v>
      </c>
      <c r="P15">
        <v>31673</v>
      </c>
      <c r="Q15">
        <v>10255</v>
      </c>
      <c r="R15">
        <v>56408</v>
      </c>
      <c r="S15">
        <v>505041</v>
      </c>
      <c r="T15">
        <v>431461</v>
      </c>
      <c r="U15">
        <v>567481</v>
      </c>
      <c r="V15">
        <v>15</v>
      </c>
      <c r="W15">
        <v>15</v>
      </c>
      <c r="X15">
        <v>381</v>
      </c>
      <c r="Y15">
        <v>43217627</v>
      </c>
      <c r="Z15">
        <v>43217627</v>
      </c>
      <c r="AA15">
        <v>24953257</v>
      </c>
      <c r="AB15">
        <v>234339024</v>
      </c>
      <c r="AC15">
        <v>91901193</v>
      </c>
      <c r="AD15">
        <v>142437731</v>
      </c>
    </row>
    <row r="16" spans="1:30" x14ac:dyDescent="0.3">
      <c r="A16" t="s">
        <v>195</v>
      </c>
      <c r="B16" t="s">
        <v>176</v>
      </c>
      <c r="C16" t="s">
        <v>231</v>
      </c>
      <c r="D16">
        <v>450</v>
      </c>
      <c r="E16">
        <v>311</v>
      </c>
      <c r="F16">
        <v>139</v>
      </c>
      <c r="G16">
        <v>351</v>
      </c>
      <c r="H16">
        <v>243</v>
      </c>
      <c r="I16">
        <v>108</v>
      </c>
      <c r="J16">
        <v>99</v>
      </c>
      <c r="K16">
        <v>68</v>
      </c>
      <c r="L16">
        <v>31</v>
      </c>
      <c r="M16">
        <v>78</v>
      </c>
      <c r="N16">
        <v>78.099999999999994</v>
      </c>
      <c r="O16">
        <v>77.7</v>
      </c>
      <c r="P16">
        <v>3674</v>
      </c>
      <c r="Q16">
        <v>3364</v>
      </c>
      <c r="R16">
        <v>4799</v>
      </c>
      <c r="S16">
        <v>177220</v>
      </c>
      <c r="T16">
        <v>79376</v>
      </c>
      <c r="U16">
        <v>396137</v>
      </c>
      <c r="V16">
        <v>3</v>
      </c>
      <c r="W16">
        <v>3</v>
      </c>
      <c r="X16">
        <v>12</v>
      </c>
      <c r="Y16">
        <v>17684114</v>
      </c>
      <c r="Z16">
        <v>9133490</v>
      </c>
      <c r="AA16">
        <v>17684114</v>
      </c>
      <c r="AB16">
        <v>79749000</v>
      </c>
      <c r="AC16">
        <v>24685936</v>
      </c>
      <c r="AD16">
        <v>55063043</v>
      </c>
    </row>
    <row r="17" spans="1:30" x14ac:dyDescent="0.3">
      <c r="A17" t="s">
        <v>173</v>
      </c>
      <c r="B17" t="s">
        <v>142</v>
      </c>
      <c r="C17" t="s">
        <v>229</v>
      </c>
      <c r="D17">
        <v>400</v>
      </c>
      <c r="E17">
        <v>201</v>
      </c>
      <c r="F17">
        <v>199</v>
      </c>
      <c r="G17">
        <v>204</v>
      </c>
      <c r="H17">
        <v>90</v>
      </c>
      <c r="I17">
        <v>114</v>
      </c>
      <c r="J17">
        <v>196</v>
      </c>
      <c r="K17">
        <v>111</v>
      </c>
      <c r="L17">
        <v>85</v>
      </c>
      <c r="M17">
        <v>51</v>
      </c>
      <c r="N17">
        <v>44.8</v>
      </c>
      <c r="O17">
        <v>57.3</v>
      </c>
      <c r="P17">
        <v>1093</v>
      </c>
      <c r="Q17">
        <v>833</v>
      </c>
      <c r="R17">
        <v>1842</v>
      </c>
      <c r="S17">
        <v>18678</v>
      </c>
      <c r="T17">
        <v>6958</v>
      </c>
      <c r="U17">
        <v>30516</v>
      </c>
      <c r="V17">
        <v>2</v>
      </c>
      <c r="W17">
        <v>2</v>
      </c>
      <c r="X17">
        <v>5</v>
      </c>
      <c r="Y17">
        <v>1179724</v>
      </c>
      <c r="Z17">
        <v>300565</v>
      </c>
      <c r="AA17">
        <v>1179724</v>
      </c>
      <c r="AB17">
        <v>7471200</v>
      </c>
      <c r="AC17">
        <v>1398558</v>
      </c>
      <c r="AD17">
        <v>6072684</v>
      </c>
    </row>
    <row r="18" spans="1:30" x14ac:dyDescent="0.3">
      <c r="A18" t="s">
        <v>173</v>
      </c>
      <c r="B18" t="s">
        <v>142</v>
      </c>
      <c r="C18" t="s">
        <v>231</v>
      </c>
      <c r="D18">
        <v>55</v>
      </c>
      <c r="E18">
        <v>23</v>
      </c>
      <c r="F18">
        <v>32</v>
      </c>
      <c r="G18">
        <v>20</v>
      </c>
      <c r="H18">
        <v>9</v>
      </c>
      <c r="I18">
        <v>11</v>
      </c>
      <c r="J18">
        <v>35</v>
      </c>
      <c r="K18">
        <v>14</v>
      </c>
      <c r="L18">
        <v>21</v>
      </c>
      <c r="M18">
        <v>36.4</v>
      </c>
      <c r="N18">
        <v>39.1</v>
      </c>
      <c r="O18">
        <v>34.4</v>
      </c>
      <c r="P18">
        <v>308</v>
      </c>
      <c r="Q18">
        <v>268</v>
      </c>
      <c r="R18">
        <v>379</v>
      </c>
      <c r="S18">
        <v>4794634</v>
      </c>
      <c r="T18">
        <v>11412361</v>
      </c>
      <c r="U18">
        <v>38143</v>
      </c>
      <c r="V18">
        <v>6</v>
      </c>
      <c r="W18">
        <v>6</v>
      </c>
      <c r="X18">
        <v>14</v>
      </c>
      <c r="Y18">
        <v>251724020</v>
      </c>
      <c r="Z18">
        <v>251724020</v>
      </c>
      <c r="AA18">
        <v>1065569</v>
      </c>
      <c r="AB18">
        <v>263704870</v>
      </c>
      <c r="AC18">
        <v>262484303</v>
      </c>
      <c r="AD18">
        <v>1220576</v>
      </c>
    </row>
    <row r="19" spans="1:30" x14ac:dyDescent="0.3">
      <c r="A19" t="s">
        <v>153</v>
      </c>
      <c r="B19" t="s">
        <v>142</v>
      </c>
      <c r="C19" t="s">
        <v>229</v>
      </c>
      <c r="D19">
        <v>495</v>
      </c>
      <c r="E19">
        <v>344</v>
      </c>
      <c r="F19">
        <v>151</v>
      </c>
      <c r="G19">
        <v>303</v>
      </c>
      <c r="H19">
        <v>189</v>
      </c>
      <c r="I19">
        <v>114</v>
      </c>
      <c r="J19">
        <v>192</v>
      </c>
      <c r="K19">
        <v>155</v>
      </c>
      <c r="L19">
        <v>37</v>
      </c>
      <c r="M19">
        <v>61.2</v>
      </c>
      <c r="N19">
        <v>54.9</v>
      </c>
      <c r="O19">
        <v>75.5</v>
      </c>
      <c r="P19">
        <v>1781</v>
      </c>
      <c r="Q19">
        <v>1271</v>
      </c>
      <c r="R19">
        <v>6031</v>
      </c>
      <c r="S19">
        <v>25406</v>
      </c>
      <c r="T19">
        <v>17174</v>
      </c>
      <c r="U19">
        <v>44159</v>
      </c>
      <c r="V19">
        <v>2</v>
      </c>
      <c r="W19">
        <v>2</v>
      </c>
      <c r="X19">
        <v>3</v>
      </c>
      <c r="Y19">
        <v>2018342</v>
      </c>
      <c r="Z19">
        <v>2018342</v>
      </c>
      <c r="AA19">
        <v>1599810</v>
      </c>
      <c r="AB19">
        <v>12575970</v>
      </c>
      <c r="AC19">
        <v>5907856</v>
      </c>
      <c r="AD19">
        <v>6668009</v>
      </c>
    </row>
    <row r="20" spans="1:30" x14ac:dyDescent="0.3">
      <c r="A20" t="s">
        <v>180</v>
      </c>
      <c r="B20" t="s">
        <v>176</v>
      </c>
      <c r="C20" t="s">
        <v>229</v>
      </c>
      <c r="D20">
        <v>350</v>
      </c>
      <c r="E20">
        <v>194</v>
      </c>
      <c r="F20">
        <v>156</v>
      </c>
      <c r="G20">
        <v>155</v>
      </c>
      <c r="H20">
        <v>63</v>
      </c>
      <c r="I20">
        <v>92</v>
      </c>
      <c r="J20">
        <v>195</v>
      </c>
      <c r="K20">
        <v>131</v>
      </c>
      <c r="L20">
        <v>64</v>
      </c>
      <c r="M20">
        <v>44.3</v>
      </c>
      <c r="N20">
        <v>32.5</v>
      </c>
      <c r="O20">
        <v>59</v>
      </c>
      <c r="P20">
        <v>620</v>
      </c>
      <c r="Q20">
        <v>312</v>
      </c>
      <c r="R20">
        <v>1838</v>
      </c>
      <c r="S20">
        <v>787205</v>
      </c>
      <c r="T20">
        <v>36662</v>
      </c>
      <c r="U20">
        <v>1720574</v>
      </c>
      <c r="V20">
        <v>3</v>
      </c>
      <c r="W20">
        <v>3</v>
      </c>
      <c r="X20">
        <v>24</v>
      </c>
      <c r="Y20">
        <v>129314439</v>
      </c>
      <c r="Z20">
        <v>1773896</v>
      </c>
      <c r="AA20">
        <v>129314439</v>
      </c>
      <c r="AB20">
        <v>275521750</v>
      </c>
      <c r="AC20">
        <v>7112428</v>
      </c>
      <c r="AD20">
        <v>268409544</v>
      </c>
    </row>
    <row r="21" spans="1:30" x14ac:dyDescent="0.3">
      <c r="A21" t="s">
        <v>149</v>
      </c>
      <c r="B21" t="s">
        <v>142</v>
      </c>
      <c r="C21" t="s">
        <v>231</v>
      </c>
      <c r="D21">
        <v>356</v>
      </c>
      <c r="E21">
        <v>203</v>
      </c>
      <c r="F21">
        <v>153</v>
      </c>
      <c r="G21">
        <v>271</v>
      </c>
      <c r="H21">
        <v>141</v>
      </c>
      <c r="I21">
        <v>130</v>
      </c>
      <c r="J21">
        <v>85</v>
      </c>
      <c r="K21">
        <v>62</v>
      </c>
      <c r="L21">
        <v>23</v>
      </c>
      <c r="M21">
        <v>76.099999999999994</v>
      </c>
      <c r="N21">
        <v>69.5</v>
      </c>
      <c r="O21">
        <v>85</v>
      </c>
      <c r="P21">
        <v>8340</v>
      </c>
      <c r="Q21">
        <v>4863</v>
      </c>
      <c r="R21">
        <v>18275</v>
      </c>
      <c r="S21">
        <v>111490</v>
      </c>
      <c r="T21">
        <v>106613</v>
      </c>
      <c r="U21">
        <v>117961</v>
      </c>
      <c r="V21">
        <v>8</v>
      </c>
      <c r="W21">
        <v>10</v>
      </c>
      <c r="X21">
        <v>8</v>
      </c>
      <c r="Y21">
        <v>5282888</v>
      </c>
      <c r="Z21">
        <v>4532786</v>
      </c>
      <c r="AA21">
        <v>5282888</v>
      </c>
      <c r="AB21">
        <v>39690440</v>
      </c>
      <c r="AC21">
        <v>21642439</v>
      </c>
      <c r="AD21">
        <v>18048033</v>
      </c>
    </row>
    <row r="22" spans="1:30" x14ac:dyDescent="0.3">
      <c r="A22" t="s">
        <v>140</v>
      </c>
      <c r="B22" t="s">
        <v>124</v>
      </c>
      <c r="C22" t="s">
        <v>229</v>
      </c>
      <c r="D22">
        <v>407</v>
      </c>
      <c r="E22">
        <v>302</v>
      </c>
      <c r="F22">
        <v>105</v>
      </c>
      <c r="G22">
        <v>138</v>
      </c>
      <c r="H22">
        <v>82</v>
      </c>
      <c r="I22">
        <v>56</v>
      </c>
      <c r="J22">
        <v>269</v>
      </c>
      <c r="K22">
        <v>220</v>
      </c>
      <c r="L22">
        <v>49</v>
      </c>
      <c r="M22">
        <v>33.9</v>
      </c>
      <c r="N22">
        <v>27.2</v>
      </c>
      <c r="O22">
        <v>53.3</v>
      </c>
      <c r="P22">
        <v>314</v>
      </c>
      <c r="Q22">
        <v>175</v>
      </c>
      <c r="R22">
        <v>1393</v>
      </c>
      <c r="S22">
        <v>91458</v>
      </c>
      <c r="T22">
        <v>54487</v>
      </c>
      <c r="U22">
        <v>197795</v>
      </c>
      <c r="V22">
        <v>2</v>
      </c>
      <c r="W22">
        <v>2</v>
      </c>
      <c r="X22">
        <v>33</v>
      </c>
      <c r="Y22">
        <v>14542848</v>
      </c>
      <c r="Z22">
        <v>9470651</v>
      </c>
      <c r="AA22">
        <v>14542848</v>
      </c>
      <c r="AB22">
        <v>37223406</v>
      </c>
      <c r="AC22">
        <v>16455074</v>
      </c>
      <c r="AD22">
        <v>20768475</v>
      </c>
    </row>
    <row r="23" spans="1:30" x14ac:dyDescent="0.3">
      <c r="A23" t="s">
        <v>143</v>
      </c>
      <c r="B23" t="s">
        <v>142</v>
      </c>
      <c r="C23" t="s">
        <v>230</v>
      </c>
      <c r="D23">
        <v>400</v>
      </c>
      <c r="E23">
        <v>348</v>
      </c>
      <c r="F23">
        <v>52</v>
      </c>
      <c r="G23">
        <v>176</v>
      </c>
      <c r="H23">
        <v>151</v>
      </c>
      <c r="I23">
        <v>25</v>
      </c>
      <c r="J23">
        <v>224</v>
      </c>
      <c r="K23">
        <v>197</v>
      </c>
      <c r="L23">
        <v>27</v>
      </c>
      <c r="M23">
        <v>44</v>
      </c>
      <c r="N23">
        <v>43.4</v>
      </c>
      <c r="O23">
        <v>48.1</v>
      </c>
      <c r="P23">
        <v>782</v>
      </c>
      <c r="Q23">
        <v>735</v>
      </c>
      <c r="R23">
        <v>858</v>
      </c>
      <c r="S23">
        <v>6625</v>
      </c>
      <c r="T23">
        <v>6202</v>
      </c>
      <c r="U23">
        <v>9459</v>
      </c>
      <c r="V23">
        <v>1</v>
      </c>
      <c r="W23">
        <v>1</v>
      </c>
      <c r="X23">
        <v>1</v>
      </c>
      <c r="Y23">
        <v>175755</v>
      </c>
      <c r="Z23">
        <v>175755</v>
      </c>
      <c r="AA23">
        <v>169150</v>
      </c>
      <c r="AB23">
        <v>2650000</v>
      </c>
      <c r="AC23">
        <v>2158296</v>
      </c>
      <c r="AD23">
        <v>491868</v>
      </c>
    </row>
    <row r="24" spans="1:30" x14ac:dyDescent="0.3">
      <c r="A24" t="s">
        <v>125</v>
      </c>
      <c r="B24" t="s">
        <v>124</v>
      </c>
      <c r="C24" t="s">
        <v>230</v>
      </c>
      <c r="D24">
        <v>469</v>
      </c>
      <c r="E24">
        <v>364</v>
      </c>
      <c r="F24">
        <v>105</v>
      </c>
      <c r="G24">
        <v>197</v>
      </c>
      <c r="H24">
        <v>157</v>
      </c>
      <c r="I24">
        <v>40</v>
      </c>
      <c r="J24">
        <v>272</v>
      </c>
      <c r="K24">
        <v>207</v>
      </c>
      <c r="L24">
        <v>65</v>
      </c>
      <c r="M24">
        <v>42</v>
      </c>
      <c r="N24">
        <v>43.1</v>
      </c>
      <c r="O24">
        <v>38.1</v>
      </c>
      <c r="P24">
        <v>683</v>
      </c>
      <c r="Q24">
        <v>786</v>
      </c>
      <c r="R24">
        <v>498</v>
      </c>
      <c r="S24">
        <v>101910</v>
      </c>
      <c r="T24">
        <v>107800</v>
      </c>
      <c r="U24">
        <v>81489</v>
      </c>
      <c r="V24">
        <v>1</v>
      </c>
      <c r="W24">
        <v>2</v>
      </c>
      <c r="X24">
        <v>1</v>
      </c>
      <c r="Y24">
        <v>5832154</v>
      </c>
      <c r="Z24">
        <v>5832154</v>
      </c>
      <c r="AA24">
        <v>2663386</v>
      </c>
      <c r="AB24">
        <v>47795790</v>
      </c>
      <c r="AC24">
        <v>39239200</v>
      </c>
      <c r="AD24">
        <v>8556345</v>
      </c>
    </row>
    <row r="25" spans="1:30" x14ac:dyDescent="0.3">
      <c r="A25" t="s">
        <v>194</v>
      </c>
      <c r="B25" t="s">
        <v>176</v>
      </c>
      <c r="C25" t="s">
        <v>231</v>
      </c>
      <c r="D25">
        <v>310</v>
      </c>
      <c r="E25">
        <v>298</v>
      </c>
      <c r="F25">
        <v>12</v>
      </c>
      <c r="G25">
        <v>116</v>
      </c>
      <c r="H25">
        <v>110</v>
      </c>
      <c r="I25">
        <v>6</v>
      </c>
      <c r="J25">
        <v>194</v>
      </c>
      <c r="K25">
        <v>188</v>
      </c>
      <c r="L25">
        <v>6</v>
      </c>
      <c r="M25">
        <v>37.4</v>
      </c>
      <c r="N25">
        <v>36.9</v>
      </c>
      <c r="O25">
        <v>50</v>
      </c>
      <c r="P25">
        <v>189</v>
      </c>
      <c r="Q25">
        <v>177</v>
      </c>
      <c r="R25">
        <v>915</v>
      </c>
      <c r="S25">
        <v>158303</v>
      </c>
      <c r="T25">
        <v>164032</v>
      </c>
      <c r="U25">
        <v>16023</v>
      </c>
      <c r="V25">
        <v>0</v>
      </c>
      <c r="W25">
        <v>0</v>
      </c>
      <c r="X25">
        <v>9</v>
      </c>
      <c r="Y25">
        <v>22102383</v>
      </c>
      <c r="Z25">
        <v>22102383</v>
      </c>
      <c r="AA25">
        <v>93246</v>
      </c>
      <c r="AB25">
        <v>49073930</v>
      </c>
      <c r="AC25">
        <v>48881536</v>
      </c>
      <c r="AD25">
        <v>192276</v>
      </c>
    </row>
    <row r="26" spans="1:30" x14ac:dyDescent="0.3">
      <c r="A26" t="s">
        <v>179</v>
      </c>
      <c r="B26" t="s">
        <v>176</v>
      </c>
      <c r="C26" t="s">
        <v>231</v>
      </c>
      <c r="D26">
        <v>69</v>
      </c>
      <c r="E26">
        <v>30</v>
      </c>
      <c r="F26">
        <v>39</v>
      </c>
      <c r="G26">
        <v>27</v>
      </c>
      <c r="H26">
        <v>9</v>
      </c>
      <c r="I26">
        <v>18</v>
      </c>
      <c r="J26">
        <v>42</v>
      </c>
      <c r="K26">
        <v>21</v>
      </c>
      <c r="L26">
        <v>21</v>
      </c>
      <c r="M26">
        <v>39.1</v>
      </c>
      <c r="N26">
        <v>30</v>
      </c>
      <c r="O26">
        <v>46.2</v>
      </c>
      <c r="P26">
        <v>275</v>
      </c>
      <c r="Q26">
        <v>250</v>
      </c>
      <c r="R26">
        <v>617</v>
      </c>
      <c r="S26">
        <v>14257</v>
      </c>
      <c r="T26">
        <v>8624</v>
      </c>
      <c r="U26">
        <v>18590</v>
      </c>
      <c r="V26">
        <v>14</v>
      </c>
      <c r="W26">
        <v>14</v>
      </c>
      <c r="X26">
        <v>15</v>
      </c>
      <c r="Y26">
        <v>422153</v>
      </c>
      <c r="Z26">
        <v>161170</v>
      </c>
      <c r="AA26">
        <v>422153</v>
      </c>
      <c r="AB26">
        <v>983733</v>
      </c>
      <c r="AC26">
        <v>258720</v>
      </c>
      <c r="AD26">
        <v>725010</v>
      </c>
    </row>
    <row r="27" spans="1:30" x14ac:dyDescent="0.3">
      <c r="A27" t="s">
        <v>139</v>
      </c>
      <c r="B27" t="s">
        <v>124</v>
      </c>
      <c r="C27" t="s">
        <v>229</v>
      </c>
      <c r="D27">
        <v>487</v>
      </c>
      <c r="E27">
        <v>382</v>
      </c>
      <c r="F27">
        <v>105</v>
      </c>
      <c r="G27">
        <v>219</v>
      </c>
      <c r="H27">
        <v>167</v>
      </c>
      <c r="I27">
        <v>52</v>
      </c>
      <c r="J27">
        <v>268</v>
      </c>
      <c r="K27">
        <v>215</v>
      </c>
      <c r="L27">
        <v>53</v>
      </c>
      <c r="M27">
        <v>45</v>
      </c>
      <c r="N27">
        <v>43.7</v>
      </c>
      <c r="O27">
        <v>49.5</v>
      </c>
      <c r="P27">
        <v>831</v>
      </c>
      <c r="Q27">
        <v>788</v>
      </c>
      <c r="R27">
        <v>992</v>
      </c>
      <c r="S27">
        <v>218571</v>
      </c>
      <c r="T27">
        <v>130117</v>
      </c>
      <c r="U27">
        <v>540372</v>
      </c>
      <c r="V27">
        <v>13</v>
      </c>
      <c r="W27">
        <v>13</v>
      </c>
      <c r="X27">
        <v>20</v>
      </c>
      <c r="Y27">
        <v>44258562</v>
      </c>
      <c r="Z27">
        <v>12685988</v>
      </c>
      <c r="AA27">
        <v>44258562</v>
      </c>
      <c r="AB27">
        <v>106444077</v>
      </c>
      <c r="AC27">
        <v>49704694</v>
      </c>
      <c r="AD27">
        <v>56739060</v>
      </c>
    </row>
    <row r="28" spans="1:30" x14ac:dyDescent="0.3">
      <c r="A28" t="s">
        <v>223</v>
      </c>
      <c r="B28" t="s">
        <v>196</v>
      </c>
      <c r="C28" t="s">
        <v>230</v>
      </c>
      <c r="D28">
        <v>500</v>
      </c>
      <c r="E28">
        <v>339</v>
      </c>
      <c r="F28">
        <v>161</v>
      </c>
      <c r="G28">
        <v>497</v>
      </c>
      <c r="H28">
        <v>337</v>
      </c>
      <c r="I28">
        <v>160</v>
      </c>
      <c r="J28">
        <v>3</v>
      </c>
      <c r="K28">
        <v>2</v>
      </c>
      <c r="L28">
        <v>1</v>
      </c>
      <c r="M28">
        <v>99.4</v>
      </c>
      <c r="N28">
        <v>99.4</v>
      </c>
      <c r="O28">
        <v>99.4</v>
      </c>
      <c r="P28">
        <v>951972</v>
      </c>
      <c r="Q28">
        <v>1252801</v>
      </c>
      <c r="R28">
        <v>621861</v>
      </c>
      <c r="S28">
        <v>3664061</v>
      </c>
      <c r="T28">
        <v>4107300</v>
      </c>
      <c r="U28">
        <v>2730783</v>
      </c>
      <c r="V28">
        <v>31</v>
      </c>
      <c r="W28">
        <v>126</v>
      </c>
      <c r="X28">
        <v>31</v>
      </c>
      <c r="Y28">
        <v>121424083</v>
      </c>
      <c r="Z28">
        <v>45366140</v>
      </c>
      <c r="AA28">
        <v>121424083</v>
      </c>
      <c r="AB28">
        <v>1832030500</v>
      </c>
      <c r="AC28">
        <v>1392374700</v>
      </c>
      <c r="AD28">
        <v>439656063</v>
      </c>
    </row>
    <row r="29" spans="1:30" x14ac:dyDescent="0.3">
      <c r="A29" t="s">
        <v>211</v>
      </c>
      <c r="B29" t="s">
        <v>196</v>
      </c>
      <c r="C29" t="s">
        <v>229</v>
      </c>
      <c r="D29">
        <v>500</v>
      </c>
      <c r="E29">
        <v>289</v>
      </c>
      <c r="F29">
        <v>211</v>
      </c>
      <c r="G29">
        <v>388</v>
      </c>
      <c r="H29">
        <v>180</v>
      </c>
      <c r="I29">
        <v>208</v>
      </c>
      <c r="J29">
        <v>112</v>
      </c>
      <c r="K29">
        <v>109</v>
      </c>
      <c r="L29">
        <v>3</v>
      </c>
      <c r="M29">
        <v>77.599999999999994</v>
      </c>
      <c r="N29">
        <v>62.3</v>
      </c>
      <c r="O29">
        <v>98.6</v>
      </c>
      <c r="P29">
        <v>16198</v>
      </c>
      <c r="Q29">
        <v>4496</v>
      </c>
      <c r="R29">
        <v>66254</v>
      </c>
      <c r="S29">
        <v>662989</v>
      </c>
      <c r="T29">
        <v>198826</v>
      </c>
      <c r="U29">
        <v>1298737</v>
      </c>
      <c r="V29">
        <v>1</v>
      </c>
      <c r="W29">
        <v>1</v>
      </c>
      <c r="X29">
        <v>901</v>
      </c>
      <c r="Y29">
        <v>66031488</v>
      </c>
      <c r="Z29">
        <v>18278378</v>
      </c>
      <c r="AA29">
        <v>66031488</v>
      </c>
      <c r="AB29">
        <v>331494500</v>
      </c>
      <c r="AC29">
        <v>57460714</v>
      </c>
      <c r="AD29">
        <v>274033507</v>
      </c>
    </row>
    <row r="30" spans="1:30" x14ac:dyDescent="0.3">
      <c r="A30" t="s">
        <v>193</v>
      </c>
      <c r="B30" t="s">
        <v>176</v>
      </c>
      <c r="C30" t="s">
        <v>230</v>
      </c>
      <c r="D30">
        <v>456</v>
      </c>
      <c r="E30">
        <v>424</v>
      </c>
      <c r="F30">
        <v>32</v>
      </c>
      <c r="G30">
        <v>393</v>
      </c>
      <c r="H30">
        <v>367</v>
      </c>
      <c r="I30">
        <v>26</v>
      </c>
      <c r="J30">
        <v>63</v>
      </c>
      <c r="K30">
        <v>57</v>
      </c>
      <c r="L30">
        <v>6</v>
      </c>
      <c r="M30">
        <v>86.2</v>
      </c>
      <c r="N30">
        <v>86.6</v>
      </c>
      <c r="O30">
        <v>81.2</v>
      </c>
      <c r="P30">
        <v>28484</v>
      </c>
      <c r="Q30">
        <v>27296</v>
      </c>
      <c r="R30">
        <v>79510</v>
      </c>
      <c r="S30">
        <v>309485</v>
      </c>
      <c r="T30">
        <v>318888</v>
      </c>
      <c r="U30">
        <v>184897</v>
      </c>
      <c r="V30">
        <v>5</v>
      </c>
      <c r="W30">
        <v>5</v>
      </c>
      <c r="X30">
        <v>10</v>
      </c>
      <c r="Y30">
        <v>12577138</v>
      </c>
      <c r="Z30">
        <v>12577138</v>
      </c>
      <c r="AA30">
        <v>1477088</v>
      </c>
      <c r="AB30">
        <v>141125160</v>
      </c>
      <c r="AC30">
        <v>135208512</v>
      </c>
      <c r="AD30">
        <v>5916704</v>
      </c>
    </row>
    <row r="31" spans="1:30" x14ac:dyDescent="0.3">
      <c r="A31" t="s">
        <v>135</v>
      </c>
      <c r="B31" t="s">
        <v>124</v>
      </c>
      <c r="C31" t="s">
        <v>229</v>
      </c>
      <c r="D31">
        <v>57</v>
      </c>
      <c r="E31">
        <v>36</v>
      </c>
      <c r="F31">
        <v>21</v>
      </c>
      <c r="G31">
        <v>32</v>
      </c>
      <c r="H31">
        <v>15</v>
      </c>
      <c r="I31">
        <v>17</v>
      </c>
      <c r="J31">
        <v>25</v>
      </c>
      <c r="K31">
        <v>21</v>
      </c>
      <c r="L31">
        <v>4</v>
      </c>
      <c r="M31">
        <v>56.1</v>
      </c>
      <c r="N31">
        <v>41.7</v>
      </c>
      <c r="O31">
        <v>81</v>
      </c>
      <c r="P31">
        <v>3095</v>
      </c>
      <c r="Q31">
        <v>443</v>
      </c>
      <c r="R31">
        <v>10799</v>
      </c>
      <c r="S31">
        <v>16131</v>
      </c>
      <c r="T31">
        <v>11615</v>
      </c>
      <c r="U31">
        <v>23872</v>
      </c>
      <c r="V31">
        <v>14</v>
      </c>
      <c r="W31">
        <v>14</v>
      </c>
      <c r="X31">
        <v>75</v>
      </c>
      <c r="Y31">
        <v>176814</v>
      </c>
      <c r="Z31">
        <v>176814</v>
      </c>
      <c r="AA31">
        <v>112793</v>
      </c>
      <c r="AB31">
        <v>919467</v>
      </c>
      <c r="AC31">
        <v>418140</v>
      </c>
      <c r="AD31">
        <v>501312</v>
      </c>
    </row>
    <row r="32" spans="1:30" x14ac:dyDescent="0.3">
      <c r="A32" t="s">
        <v>202</v>
      </c>
      <c r="B32" t="s">
        <v>196</v>
      </c>
      <c r="C32" t="s">
        <v>230</v>
      </c>
      <c r="D32">
        <v>100</v>
      </c>
      <c r="E32">
        <v>36</v>
      </c>
      <c r="F32">
        <v>64</v>
      </c>
      <c r="G32">
        <v>100</v>
      </c>
      <c r="H32">
        <v>36</v>
      </c>
      <c r="I32">
        <v>64</v>
      </c>
      <c r="J32">
        <v>0</v>
      </c>
      <c r="K32">
        <v>0</v>
      </c>
      <c r="L32">
        <v>0</v>
      </c>
      <c r="M32">
        <v>100</v>
      </c>
      <c r="N32">
        <v>100</v>
      </c>
      <c r="O32">
        <v>100</v>
      </c>
      <c r="P32">
        <v>534501</v>
      </c>
      <c r="Q32">
        <v>695546</v>
      </c>
      <c r="R32">
        <v>475582</v>
      </c>
      <c r="S32">
        <v>1218098</v>
      </c>
      <c r="T32">
        <v>1765529</v>
      </c>
      <c r="U32">
        <v>910169</v>
      </c>
      <c r="V32">
        <v>6927</v>
      </c>
      <c r="W32">
        <v>6927</v>
      </c>
      <c r="X32">
        <v>32829</v>
      </c>
      <c r="Y32">
        <v>13257754</v>
      </c>
      <c r="Z32">
        <v>13257754</v>
      </c>
      <c r="AA32">
        <v>3816054</v>
      </c>
      <c r="AB32">
        <v>121809800</v>
      </c>
      <c r="AC32">
        <v>63559044</v>
      </c>
      <c r="AD32">
        <v>58250816</v>
      </c>
    </row>
    <row r="33" spans="1:30" x14ac:dyDescent="0.3">
      <c r="A33" t="s">
        <v>222</v>
      </c>
      <c r="B33" t="s">
        <v>196</v>
      </c>
      <c r="C33" t="s">
        <v>231</v>
      </c>
      <c r="D33">
        <v>438</v>
      </c>
      <c r="E33">
        <v>207</v>
      </c>
      <c r="F33">
        <v>231</v>
      </c>
      <c r="G33">
        <v>400</v>
      </c>
      <c r="H33">
        <v>179</v>
      </c>
      <c r="I33">
        <v>221</v>
      </c>
      <c r="J33">
        <v>38</v>
      </c>
      <c r="K33">
        <v>28</v>
      </c>
      <c r="L33">
        <v>10</v>
      </c>
      <c r="M33">
        <v>91.3</v>
      </c>
      <c r="N33">
        <v>86.5</v>
      </c>
      <c r="O33">
        <v>95.7</v>
      </c>
      <c r="P33">
        <v>2237785</v>
      </c>
      <c r="Q33">
        <v>1231917</v>
      </c>
      <c r="R33">
        <v>3751370</v>
      </c>
      <c r="S33">
        <v>15404852</v>
      </c>
      <c r="T33">
        <v>11024643</v>
      </c>
      <c r="U33">
        <v>19329975</v>
      </c>
      <c r="V33">
        <v>0</v>
      </c>
      <c r="W33">
        <v>0</v>
      </c>
      <c r="X33">
        <v>20</v>
      </c>
      <c r="Y33">
        <v>652211740</v>
      </c>
      <c r="Z33">
        <v>354425393</v>
      </c>
      <c r="AA33">
        <v>652211740</v>
      </c>
      <c r="AB33">
        <v>6747325176</v>
      </c>
      <c r="AC33">
        <v>2282101101</v>
      </c>
      <c r="AD33">
        <v>4465224225</v>
      </c>
    </row>
    <row r="34" spans="1:30" x14ac:dyDescent="0.3">
      <c r="A34" t="s">
        <v>204</v>
      </c>
      <c r="B34" t="s">
        <v>196</v>
      </c>
      <c r="C34" t="s">
        <v>230</v>
      </c>
      <c r="D34">
        <v>312</v>
      </c>
      <c r="E34">
        <v>201</v>
      </c>
      <c r="F34">
        <v>111</v>
      </c>
      <c r="G34">
        <v>180</v>
      </c>
      <c r="H34">
        <v>106</v>
      </c>
      <c r="I34">
        <v>74</v>
      </c>
      <c r="J34">
        <v>132</v>
      </c>
      <c r="K34">
        <v>95</v>
      </c>
      <c r="L34">
        <v>37</v>
      </c>
      <c r="M34">
        <v>57.7</v>
      </c>
      <c r="N34">
        <v>52.7</v>
      </c>
      <c r="O34">
        <v>66.7</v>
      </c>
      <c r="P34">
        <v>1411</v>
      </c>
      <c r="Q34">
        <v>1092</v>
      </c>
      <c r="R34">
        <v>3550</v>
      </c>
      <c r="S34">
        <v>26290</v>
      </c>
      <c r="T34">
        <v>15324</v>
      </c>
      <c r="U34">
        <v>46147</v>
      </c>
      <c r="V34">
        <v>1</v>
      </c>
      <c r="W34">
        <v>11</v>
      </c>
      <c r="X34">
        <v>1</v>
      </c>
      <c r="Y34">
        <v>1504745</v>
      </c>
      <c r="Z34">
        <v>1286848</v>
      </c>
      <c r="AA34">
        <v>1504745</v>
      </c>
      <c r="AB34">
        <v>8202480</v>
      </c>
      <c r="AC34">
        <v>3080124</v>
      </c>
      <c r="AD34">
        <v>5122317</v>
      </c>
    </row>
    <row r="35" spans="1:30" x14ac:dyDescent="0.3">
      <c r="A35" t="s">
        <v>204</v>
      </c>
      <c r="B35" t="s">
        <v>196</v>
      </c>
      <c r="C35" t="s">
        <v>231</v>
      </c>
      <c r="D35">
        <v>500</v>
      </c>
      <c r="E35">
        <v>149</v>
      </c>
      <c r="F35">
        <v>351</v>
      </c>
      <c r="G35">
        <v>418</v>
      </c>
      <c r="H35">
        <v>128</v>
      </c>
      <c r="I35">
        <v>290</v>
      </c>
      <c r="J35">
        <v>82</v>
      </c>
      <c r="K35">
        <v>21</v>
      </c>
      <c r="L35">
        <v>61</v>
      </c>
      <c r="M35">
        <v>83.6</v>
      </c>
      <c r="N35">
        <v>85.9</v>
      </c>
      <c r="O35">
        <v>82.6</v>
      </c>
      <c r="P35">
        <v>10627</v>
      </c>
      <c r="Q35">
        <v>7548</v>
      </c>
      <c r="R35">
        <v>11038</v>
      </c>
      <c r="S35">
        <v>109565</v>
      </c>
      <c r="T35">
        <v>141980</v>
      </c>
      <c r="U35">
        <v>95804</v>
      </c>
      <c r="V35">
        <v>145</v>
      </c>
      <c r="W35">
        <v>214</v>
      </c>
      <c r="X35">
        <v>145</v>
      </c>
      <c r="Y35">
        <v>4146750</v>
      </c>
      <c r="Z35">
        <v>4146750</v>
      </c>
      <c r="AA35">
        <v>3157294</v>
      </c>
      <c r="AB35">
        <v>54782500</v>
      </c>
      <c r="AC35">
        <v>21155020</v>
      </c>
      <c r="AD35">
        <v>33627204</v>
      </c>
    </row>
    <row r="36" spans="1:30" x14ac:dyDescent="0.3">
      <c r="A36" t="s">
        <v>183</v>
      </c>
      <c r="B36" t="s">
        <v>176</v>
      </c>
      <c r="C36" t="s">
        <v>231</v>
      </c>
      <c r="D36">
        <v>481</v>
      </c>
      <c r="E36">
        <v>405</v>
      </c>
      <c r="F36">
        <v>76</v>
      </c>
      <c r="G36">
        <v>134</v>
      </c>
      <c r="H36">
        <v>99</v>
      </c>
      <c r="I36">
        <v>35</v>
      </c>
      <c r="J36">
        <v>347</v>
      </c>
      <c r="K36">
        <v>306</v>
      </c>
      <c r="L36">
        <v>41</v>
      </c>
      <c r="M36">
        <v>27.9</v>
      </c>
      <c r="N36">
        <v>24.4</v>
      </c>
      <c r="O36">
        <v>46.1</v>
      </c>
      <c r="P36">
        <v>253</v>
      </c>
      <c r="Q36">
        <v>214</v>
      </c>
      <c r="R36">
        <v>763</v>
      </c>
      <c r="S36">
        <v>296666</v>
      </c>
      <c r="T36">
        <v>199869</v>
      </c>
      <c r="U36">
        <v>812494</v>
      </c>
      <c r="V36">
        <v>4</v>
      </c>
      <c r="W36">
        <v>4</v>
      </c>
      <c r="X36">
        <v>15</v>
      </c>
      <c r="Y36">
        <v>78862926</v>
      </c>
      <c r="Z36">
        <v>78862926</v>
      </c>
      <c r="AA36">
        <v>40320018</v>
      </c>
      <c r="AB36">
        <v>142696346</v>
      </c>
      <c r="AC36">
        <v>80946945</v>
      </c>
      <c r="AD36">
        <v>61749544</v>
      </c>
    </row>
    <row r="37" spans="1:30" x14ac:dyDescent="0.3">
      <c r="A37" t="s">
        <v>214</v>
      </c>
      <c r="B37" t="s">
        <v>196</v>
      </c>
      <c r="C37" t="s">
        <v>229</v>
      </c>
      <c r="D37">
        <v>364</v>
      </c>
      <c r="E37">
        <v>131</v>
      </c>
      <c r="F37">
        <v>233</v>
      </c>
      <c r="G37">
        <v>315</v>
      </c>
      <c r="H37">
        <v>123</v>
      </c>
      <c r="I37">
        <v>192</v>
      </c>
      <c r="J37">
        <v>49</v>
      </c>
      <c r="K37">
        <v>8</v>
      </c>
      <c r="L37">
        <v>41</v>
      </c>
      <c r="M37">
        <v>86.5</v>
      </c>
      <c r="N37">
        <v>93.9</v>
      </c>
      <c r="O37">
        <v>82.4</v>
      </c>
      <c r="P37">
        <v>9916</v>
      </c>
      <c r="Q37">
        <v>11622</v>
      </c>
      <c r="R37">
        <v>7872</v>
      </c>
      <c r="S37">
        <v>6641780</v>
      </c>
      <c r="T37">
        <v>3524386</v>
      </c>
      <c r="U37">
        <v>8394478</v>
      </c>
      <c r="V37">
        <v>8</v>
      </c>
      <c r="W37">
        <v>8</v>
      </c>
      <c r="X37">
        <v>11</v>
      </c>
      <c r="Y37">
        <v>758510078</v>
      </c>
      <c r="Z37">
        <v>219606975</v>
      </c>
      <c r="AA37">
        <v>758510078</v>
      </c>
      <c r="AB37">
        <v>2417607920</v>
      </c>
      <c r="AC37">
        <v>461694566</v>
      </c>
      <c r="AD37">
        <v>1955913374</v>
      </c>
    </row>
    <row r="38" spans="1:30" x14ac:dyDescent="0.3">
      <c r="A38" t="s">
        <v>214</v>
      </c>
      <c r="B38" t="s">
        <v>196</v>
      </c>
      <c r="C38" t="s">
        <v>231</v>
      </c>
      <c r="D38">
        <v>250</v>
      </c>
      <c r="E38">
        <v>135</v>
      </c>
      <c r="F38">
        <v>115</v>
      </c>
      <c r="G38">
        <v>151</v>
      </c>
      <c r="H38">
        <v>96</v>
      </c>
      <c r="I38">
        <v>55</v>
      </c>
      <c r="J38">
        <v>99</v>
      </c>
      <c r="K38">
        <v>39</v>
      </c>
      <c r="L38">
        <v>60</v>
      </c>
      <c r="M38">
        <v>60.4</v>
      </c>
      <c r="N38">
        <v>71.099999999999994</v>
      </c>
      <c r="O38">
        <v>47.8</v>
      </c>
      <c r="P38">
        <v>2812</v>
      </c>
      <c r="Q38">
        <v>3932</v>
      </c>
      <c r="R38">
        <v>727</v>
      </c>
      <c r="S38">
        <v>9205742</v>
      </c>
      <c r="T38">
        <v>2757255</v>
      </c>
      <c r="U38">
        <v>16775705</v>
      </c>
      <c r="V38">
        <v>3</v>
      </c>
      <c r="W38">
        <v>3</v>
      </c>
      <c r="X38">
        <v>5</v>
      </c>
      <c r="Y38">
        <v>758510078</v>
      </c>
      <c r="Z38">
        <v>164860611</v>
      </c>
      <c r="AA38">
        <v>758510078</v>
      </c>
      <c r="AB38">
        <v>2301435500</v>
      </c>
      <c r="AC38">
        <v>372229425</v>
      </c>
      <c r="AD38">
        <v>1929206075</v>
      </c>
    </row>
    <row r="39" spans="1:30" x14ac:dyDescent="0.3">
      <c r="A39" t="s">
        <v>210</v>
      </c>
      <c r="B39" t="s">
        <v>196</v>
      </c>
      <c r="C39" t="s">
        <v>229</v>
      </c>
      <c r="D39">
        <v>499</v>
      </c>
      <c r="E39">
        <v>108</v>
      </c>
      <c r="F39">
        <v>391</v>
      </c>
      <c r="G39">
        <v>135</v>
      </c>
      <c r="H39">
        <v>34</v>
      </c>
      <c r="I39">
        <v>101</v>
      </c>
      <c r="J39">
        <v>364</v>
      </c>
      <c r="K39">
        <v>74</v>
      </c>
      <c r="L39">
        <v>290</v>
      </c>
      <c r="M39">
        <v>27.1</v>
      </c>
      <c r="N39">
        <v>31.5</v>
      </c>
      <c r="O39">
        <v>25.8</v>
      </c>
      <c r="P39">
        <v>179</v>
      </c>
      <c r="Q39">
        <v>114</v>
      </c>
      <c r="R39">
        <v>191</v>
      </c>
      <c r="S39">
        <v>52525</v>
      </c>
      <c r="T39">
        <v>73579</v>
      </c>
      <c r="U39">
        <v>46709</v>
      </c>
      <c r="V39">
        <v>0</v>
      </c>
      <c r="W39">
        <v>0</v>
      </c>
      <c r="X39">
        <v>2</v>
      </c>
      <c r="Y39">
        <v>5303926</v>
      </c>
      <c r="Z39">
        <v>2671903</v>
      </c>
      <c r="AA39">
        <v>5303926</v>
      </c>
      <c r="AB39">
        <v>26209975</v>
      </c>
      <c r="AC39">
        <v>7946532</v>
      </c>
      <c r="AD39">
        <v>18263219</v>
      </c>
    </row>
    <row r="40" spans="1:30" x14ac:dyDescent="0.3">
      <c r="A40" t="s">
        <v>192</v>
      </c>
      <c r="B40" t="s">
        <v>176</v>
      </c>
      <c r="C40" t="s">
        <v>230</v>
      </c>
      <c r="D40">
        <v>476</v>
      </c>
      <c r="E40">
        <v>415</v>
      </c>
      <c r="F40">
        <v>61</v>
      </c>
      <c r="G40">
        <v>405</v>
      </c>
      <c r="H40">
        <v>363</v>
      </c>
      <c r="I40">
        <v>42</v>
      </c>
      <c r="J40">
        <v>71</v>
      </c>
      <c r="K40">
        <v>52</v>
      </c>
      <c r="L40">
        <v>19</v>
      </c>
      <c r="M40">
        <v>85.1</v>
      </c>
      <c r="N40">
        <v>87.5</v>
      </c>
      <c r="O40">
        <v>68.900000000000006</v>
      </c>
      <c r="P40">
        <v>22713</v>
      </c>
      <c r="Q40">
        <v>24166</v>
      </c>
      <c r="R40">
        <v>13240</v>
      </c>
      <c r="S40">
        <v>511377</v>
      </c>
      <c r="T40">
        <v>573142</v>
      </c>
      <c r="U40">
        <v>91172</v>
      </c>
      <c r="V40">
        <v>3</v>
      </c>
      <c r="W40">
        <v>9</v>
      </c>
      <c r="X40">
        <v>3</v>
      </c>
      <c r="Y40">
        <v>29239779</v>
      </c>
      <c r="Z40">
        <v>29239779</v>
      </c>
      <c r="AA40">
        <v>1475183</v>
      </c>
      <c r="AB40">
        <v>243415452</v>
      </c>
      <c r="AC40">
        <v>237853930</v>
      </c>
      <c r="AD40">
        <v>5561492</v>
      </c>
    </row>
    <row r="41" spans="1:30" x14ac:dyDescent="0.3">
      <c r="A41" t="s">
        <v>200</v>
      </c>
      <c r="B41" t="s">
        <v>196</v>
      </c>
      <c r="C41" t="s">
        <v>230</v>
      </c>
      <c r="D41">
        <v>350</v>
      </c>
      <c r="E41">
        <v>200</v>
      </c>
      <c r="F41">
        <v>150</v>
      </c>
      <c r="G41">
        <v>348</v>
      </c>
      <c r="H41">
        <v>199</v>
      </c>
      <c r="I41">
        <v>149</v>
      </c>
      <c r="J41">
        <v>2</v>
      </c>
      <c r="K41">
        <v>1</v>
      </c>
      <c r="L41">
        <v>1</v>
      </c>
      <c r="M41">
        <v>99.4</v>
      </c>
      <c r="N41">
        <v>99.5</v>
      </c>
      <c r="O41">
        <v>99.3</v>
      </c>
      <c r="P41">
        <v>72765</v>
      </c>
      <c r="Q41">
        <v>47796</v>
      </c>
      <c r="R41">
        <v>107398</v>
      </c>
      <c r="S41">
        <v>342604</v>
      </c>
      <c r="T41">
        <v>368542</v>
      </c>
      <c r="U41">
        <v>308020</v>
      </c>
      <c r="V41">
        <v>31</v>
      </c>
      <c r="W41">
        <v>31</v>
      </c>
      <c r="X41">
        <v>73</v>
      </c>
      <c r="Y41">
        <v>6460260</v>
      </c>
      <c r="Z41">
        <v>6460260</v>
      </c>
      <c r="AA41">
        <v>5908040</v>
      </c>
      <c r="AB41">
        <v>119911400</v>
      </c>
      <c r="AC41">
        <v>73708400</v>
      </c>
      <c r="AD41">
        <v>46203000</v>
      </c>
    </row>
    <row r="42" spans="1:30" x14ac:dyDescent="0.3">
      <c r="A42" t="s">
        <v>138</v>
      </c>
      <c r="B42" t="s">
        <v>124</v>
      </c>
      <c r="C42" t="s">
        <v>231</v>
      </c>
      <c r="D42">
        <v>468</v>
      </c>
      <c r="E42">
        <v>169</v>
      </c>
      <c r="F42">
        <v>299</v>
      </c>
      <c r="G42">
        <v>231</v>
      </c>
      <c r="H42">
        <v>74</v>
      </c>
      <c r="I42">
        <v>157</v>
      </c>
      <c r="J42">
        <v>237</v>
      </c>
      <c r="K42">
        <v>95</v>
      </c>
      <c r="L42">
        <v>142</v>
      </c>
      <c r="M42">
        <v>49.4</v>
      </c>
      <c r="N42">
        <v>43.8</v>
      </c>
      <c r="O42">
        <v>52.5</v>
      </c>
      <c r="P42">
        <v>953</v>
      </c>
      <c r="Q42">
        <v>590</v>
      </c>
      <c r="R42">
        <v>1227</v>
      </c>
      <c r="S42">
        <v>134383</v>
      </c>
      <c r="T42">
        <v>229797</v>
      </c>
      <c r="U42">
        <v>80454</v>
      </c>
      <c r="V42">
        <v>2</v>
      </c>
      <c r="W42">
        <v>2</v>
      </c>
      <c r="X42">
        <v>10</v>
      </c>
      <c r="Y42">
        <v>16910795</v>
      </c>
      <c r="Z42">
        <v>16910795</v>
      </c>
      <c r="AA42">
        <v>5105542</v>
      </c>
      <c r="AB42">
        <v>62891244</v>
      </c>
      <c r="AC42">
        <v>38835693</v>
      </c>
      <c r="AD42">
        <v>24055746</v>
      </c>
    </row>
    <row r="43" spans="1:30" x14ac:dyDescent="0.3">
      <c r="A43" t="s">
        <v>127</v>
      </c>
      <c r="B43" t="s">
        <v>124</v>
      </c>
      <c r="C43" t="s">
        <v>230</v>
      </c>
      <c r="D43">
        <v>380</v>
      </c>
      <c r="E43">
        <v>316</v>
      </c>
      <c r="F43">
        <v>64</v>
      </c>
      <c r="G43">
        <v>371</v>
      </c>
      <c r="H43">
        <v>309</v>
      </c>
      <c r="I43">
        <v>62</v>
      </c>
      <c r="J43">
        <v>9</v>
      </c>
      <c r="K43">
        <v>7</v>
      </c>
      <c r="L43">
        <v>2</v>
      </c>
      <c r="M43">
        <v>97.6</v>
      </c>
      <c r="N43">
        <v>97.8</v>
      </c>
      <c r="O43">
        <v>96.9</v>
      </c>
      <c r="P43">
        <v>1145581</v>
      </c>
      <c r="Q43">
        <v>1452830</v>
      </c>
      <c r="R43">
        <v>564828</v>
      </c>
      <c r="S43">
        <v>9349838</v>
      </c>
      <c r="T43">
        <v>10809646</v>
      </c>
      <c r="U43">
        <v>2142038</v>
      </c>
      <c r="V43">
        <v>158</v>
      </c>
      <c r="W43">
        <v>158</v>
      </c>
      <c r="X43">
        <v>361</v>
      </c>
      <c r="Y43">
        <v>215161603</v>
      </c>
      <c r="Z43">
        <v>215161603</v>
      </c>
      <c r="AA43">
        <v>12879983</v>
      </c>
      <c r="AB43">
        <v>3552938440</v>
      </c>
      <c r="AC43">
        <v>3415848136</v>
      </c>
      <c r="AD43">
        <v>137090432</v>
      </c>
    </row>
    <row r="44" spans="1:30" x14ac:dyDescent="0.3">
      <c r="A44" t="s">
        <v>147</v>
      </c>
      <c r="B44" t="s">
        <v>142</v>
      </c>
      <c r="C44" t="s">
        <v>230</v>
      </c>
      <c r="D44">
        <v>280</v>
      </c>
      <c r="E44">
        <v>225</v>
      </c>
      <c r="F44">
        <v>55</v>
      </c>
      <c r="G44">
        <v>166</v>
      </c>
      <c r="H44">
        <v>125</v>
      </c>
      <c r="I44">
        <v>41</v>
      </c>
      <c r="J44">
        <v>114</v>
      </c>
      <c r="K44">
        <v>100</v>
      </c>
      <c r="L44">
        <v>14</v>
      </c>
      <c r="M44">
        <v>59.3</v>
      </c>
      <c r="N44">
        <v>55.6</v>
      </c>
      <c r="O44">
        <v>74.5</v>
      </c>
      <c r="P44">
        <v>1889</v>
      </c>
      <c r="Q44">
        <v>1568</v>
      </c>
      <c r="R44">
        <v>13207</v>
      </c>
      <c r="S44">
        <v>19332</v>
      </c>
      <c r="T44">
        <v>13547</v>
      </c>
      <c r="U44">
        <v>42998</v>
      </c>
      <c r="V44">
        <v>3</v>
      </c>
      <c r="W44">
        <v>3</v>
      </c>
      <c r="X44">
        <v>45</v>
      </c>
      <c r="Y44">
        <v>778918</v>
      </c>
      <c r="Z44">
        <v>778918</v>
      </c>
      <c r="AA44">
        <v>342158</v>
      </c>
      <c r="AB44">
        <v>5412960</v>
      </c>
      <c r="AC44">
        <v>3048075</v>
      </c>
      <c r="AD44">
        <v>2364890</v>
      </c>
    </row>
    <row r="45" spans="1:30" x14ac:dyDescent="0.3">
      <c r="A45" t="s">
        <v>191</v>
      </c>
      <c r="B45" t="s">
        <v>176</v>
      </c>
      <c r="C45" t="s">
        <v>230</v>
      </c>
      <c r="D45">
        <v>96</v>
      </c>
      <c r="E45">
        <v>73</v>
      </c>
      <c r="F45">
        <v>23</v>
      </c>
      <c r="G45">
        <v>68</v>
      </c>
      <c r="H45">
        <v>60</v>
      </c>
      <c r="I45">
        <v>8</v>
      </c>
      <c r="J45">
        <v>28</v>
      </c>
      <c r="K45">
        <v>13</v>
      </c>
      <c r="L45">
        <v>15</v>
      </c>
      <c r="M45">
        <v>70.8</v>
      </c>
      <c r="N45">
        <v>82.2</v>
      </c>
      <c r="O45">
        <v>34.799999999999997</v>
      </c>
      <c r="P45">
        <v>161421</v>
      </c>
      <c r="Q45">
        <v>462779</v>
      </c>
      <c r="R45">
        <v>452</v>
      </c>
      <c r="S45">
        <v>14143845</v>
      </c>
      <c r="T45">
        <v>18458493</v>
      </c>
      <c r="U45">
        <v>449529</v>
      </c>
      <c r="V45">
        <v>7</v>
      </c>
      <c r="W45">
        <v>7</v>
      </c>
      <c r="X45">
        <v>9</v>
      </c>
      <c r="Y45">
        <v>177752218</v>
      </c>
      <c r="Z45">
        <v>177752218</v>
      </c>
      <c r="AA45">
        <v>5541402</v>
      </c>
      <c r="AB45">
        <v>1357809120</v>
      </c>
      <c r="AC45">
        <v>1347469989</v>
      </c>
      <c r="AD45">
        <v>10339167</v>
      </c>
    </row>
    <row r="46" spans="1:30" x14ac:dyDescent="0.3">
      <c r="A46" t="s">
        <v>191</v>
      </c>
      <c r="B46" t="s">
        <v>176</v>
      </c>
      <c r="C46" t="s">
        <v>231</v>
      </c>
      <c r="D46">
        <v>133</v>
      </c>
      <c r="E46">
        <v>103</v>
      </c>
      <c r="F46">
        <v>30</v>
      </c>
      <c r="G46">
        <v>94</v>
      </c>
      <c r="H46">
        <v>79</v>
      </c>
      <c r="I46">
        <v>15</v>
      </c>
      <c r="J46">
        <v>39</v>
      </c>
      <c r="K46">
        <v>24</v>
      </c>
      <c r="L46">
        <v>15</v>
      </c>
      <c r="M46">
        <v>70.7</v>
      </c>
      <c r="N46">
        <v>76.7</v>
      </c>
      <c r="O46">
        <v>50</v>
      </c>
      <c r="P46">
        <v>5073</v>
      </c>
      <c r="Q46">
        <v>5941</v>
      </c>
      <c r="R46">
        <v>974</v>
      </c>
      <c r="S46">
        <v>10517218</v>
      </c>
      <c r="T46">
        <v>13413347</v>
      </c>
      <c r="U46">
        <v>573842</v>
      </c>
      <c r="V46">
        <v>13</v>
      </c>
      <c r="W46">
        <v>13</v>
      </c>
      <c r="X46">
        <v>20</v>
      </c>
      <c r="Y46">
        <v>196226074</v>
      </c>
      <c r="Z46">
        <v>196226074</v>
      </c>
      <c r="AA46">
        <v>9803997</v>
      </c>
      <c r="AB46">
        <v>1398789994</v>
      </c>
      <c r="AC46">
        <v>1381574741</v>
      </c>
      <c r="AD46">
        <v>17215260</v>
      </c>
    </row>
    <row r="47" spans="1:30" x14ac:dyDescent="0.3">
      <c r="A47" t="s">
        <v>150</v>
      </c>
      <c r="B47" t="s">
        <v>142</v>
      </c>
      <c r="C47" t="s">
        <v>231</v>
      </c>
      <c r="D47">
        <v>454</v>
      </c>
      <c r="E47">
        <v>331</v>
      </c>
      <c r="F47">
        <v>123</v>
      </c>
      <c r="G47">
        <v>152</v>
      </c>
      <c r="H47">
        <v>94</v>
      </c>
      <c r="I47">
        <v>58</v>
      </c>
      <c r="J47">
        <v>302</v>
      </c>
      <c r="K47">
        <v>237</v>
      </c>
      <c r="L47">
        <v>65</v>
      </c>
      <c r="M47">
        <v>33.5</v>
      </c>
      <c r="N47">
        <v>28.4</v>
      </c>
      <c r="O47">
        <v>47.2</v>
      </c>
      <c r="P47">
        <v>386</v>
      </c>
      <c r="Q47">
        <v>320</v>
      </c>
      <c r="R47">
        <v>797</v>
      </c>
      <c r="S47">
        <v>9945</v>
      </c>
      <c r="T47">
        <v>7028</v>
      </c>
      <c r="U47">
        <v>17795</v>
      </c>
      <c r="V47">
        <v>2</v>
      </c>
      <c r="W47">
        <v>2</v>
      </c>
      <c r="X47">
        <v>6</v>
      </c>
      <c r="Y47">
        <v>557840</v>
      </c>
      <c r="Z47">
        <v>179211</v>
      </c>
      <c r="AA47">
        <v>557840</v>
      </c>
      <c r="AB47">
        <v>4515030</v>
      </c>
      <c r="AC47">
        <v>2326268</v>
      </c>
      <c r="AD47">
        <v>2188785</v>
      </c>
    </row>
    <row r="48" spans="1:30" x14ac:dyDescent="0.3">
      <c r="A48" t="s">
        <v>132</v>
      </c>
      <c r="B48" t="s">
        <v>124</v>
      </c>
      <c r="C48" t="s">
        <v>229</v>
      </c>
      <c r="D48">
        <v>250</v>
      </c>
      <c r="E48">
        <v>196</v>
      </c>
      <c r="F48">
        <v>54</v>
      </c>
      <c r="G48">
        <v>97</v>
      </c>
      <c r="H48">
        <v>70</v>
      </c>
      <c r="I48">
        <v>27</v>
      </c>
      <c r="J48">
        <v>153</v>
      </c>
      <c r="K48">
        <v>126</v>
      </c>
      <c r="L48">
        <v>27</v>
      </c>
      <c r="M48">
        <v>38.799999999999997</v>
      </c>
      <c r="N48">
        <v>35.700000000000003</v>
      </c>
      <c r="O48">
        <v>50</v>
      </c>
      <c r="P48">
        <v>541</v>
      </c>
      <c r="Q48">
        <v>520</v>
      </c>
      <c r="R48">
        <v>1258</v>
      </c>
      <c r="S48">
        <v>150933</v>
      </c>
      <c r="T48">
        <v>125459</v>
      </c>
      <c r="U48">
        <v>243395</v>
      </c>
      <c r="V48">
        <v>13</v>
      </c>
      <c r="W48">
        <v>20</v>
      </c>
      <c r="X48">
        <v>13</v>
      </c>
      <c r="Y48">
        <v>15051170</v>
      </c>
      <c r="Z48">
        <v>15051170</v>
      </c>
      <c r="AA48">
        <v>5097339</v>
      </c>
      <c r="AB48">
        <v>37733250</v>
      </c>
      <c r="AC48">
        <v>24589964</v>
      </c>
      <c r="AD48">
        <v>13143330</v>
      </c>
    </row>
    <row r="49" spans="1:30" x14ac:dyDescent="0.3">
      <c r="A49" t="s">
        <v>185</v>
      </c>
      <c r="B49" t="s">
        <v>176</v>
      </c>
      <c r="C49" t="s">
        <v>229</v>
      </c>
      <c r="D49">
        <v>398</v>
      </c>
      <c r="E49">
        <v>361</v>
      </c>
      <c r="F49">
        <v>37</v>
      </c>
      <c r="G49">
        <v>142</v>
      </c>
      <c r="H49">
        <v>132</v>
      </c>
      <c r="I49">
        <v>10</v>
      </c>
      <c r="J49">
        <v>256</v>
      </c>
      <c r="K49">
        <v>229</v>
      </c>
      <c r="L49">
        <v>27</v>
      </c>
      <c r="M49">
        <v>35.700000000000003</v>
      </c>
      <c r="N49">
        <v>36.6</v>
      </c>
      <c r="O49">
        <v>27</v>
      </c>
      <c r="P49">
        <v>702</v>
      </c>
      <c r="Q49">
        <v>750</v>
      </c>
      <c r="R49">
        <v>623</v>
      </c>
      <c r="S49">
        <v>11894</v>
      </c>
      <c r="T49">
        <v>12613</v>
      </c>
      <c r="U49">
        <v>4882</v>
      </c>
      <c r="V49">
        <v>15</v>
      </c>
      <c r="W49">
        <v>15</v>
      </c>
      <c r="X49">
        <v>34</v>
      </c>
      <c r="Y49">
        <v>1914919</v>
      </c>
      <c r="Z49">
        <v>1914919</v>
      </c>
      <c r="AA49">
        <v>111551</v>
      </c>
      <c r="AB49">
        <v>4733812</v>
      </c>
      <c r="AC49">
        <v>4553293</v>
      </c>
      <c r="AD49">
        <v>180634</v>
      </c>
    </row>
    <row r="50" spans="1:30" x14ac:dyDescent="0.3">
      <c r="A50" t="s">
        <v>172</v>
      </c>
      <c r="B50" t="s">
        <v>142</v>
      </c>
      <c r="C50" t="s">
        <v>229</v>
      </c>
      <c r="D50">
        <v>450</v>
      </c>
      <c r="E50">
        <v>257</v>
      </c>
      <c r="F50">
        <v>193</v>
      </c>
      <c r="G50">
        <v>380</v>
      </c>
      <c r="H50">
        <v>198</v>
      </c>
      <c r="I50">
        <v>182</v>
      </c>
      <c r="J50">
        <v>70</v>
      </c>
      <c r="K50">
        <v>59</v>
      </c>
      <c r="L50">
        <v>11</v>
      </c>
      <c r="M50">
        <v>84.4</v>
      </c>
      <c r="N50">
        <v>77</v>
      </c>
      <c r="O50">
        <v>94.3</v>
      </c>
      <c r="P50">
        <v>9834</v>
      </c>
      <c r="Q50">
        <v>5573</v>
      </c>
      <c r="R50">
        <v>18086</v>
      </c>
      <c r="S50">
        <v>98391</v>
      </c>
      <c r="T50">
        <v>78309</v>
      </c>
      <c r="U50">
        <v>125132</v>
      </c>
      <c r="V50">
        <v>24</v>
      </c>
      <c r="W50">
        <v>24</v>
      </c>
      <c r="X50">
        <v>50</v>
      </c>
      <c r="Y50">
        <v>2669032</v>
      </c>
      <c r="Z50">
        <v>2669032</v>
      </c>
      <c r="AA50">
        <v>1774098</v>
      </c>
      <c r="AB50">
        <v>44275950</v>
      </c>
      <c r="AC50">
        <v>20125413</v>
      </c>
      <c r="AD50">
        <v>24150476</v>
      </c>
    </row>
    <row r="51" spans="1:30" x14ac:dyDescent="0.3">
      <c r="A51" t="s">
        <v>154</v>
      </c>
      <c r="B51" t="s">
        <v>142</v>
      </c>
      <c r="C51" t="s">
        <v>229</v>
      </c>
      <c r="D51">
        <v>440</v>
      </c>
      <c r="E51">
        <v>354</v>
      </c>
      <c r="F51">
        <v>86</v>
      </c>
      <c r="G51">
        <v>273</v>
      </c>
      <c r="H51">
        <v>205</v>
      </c>
      <c r="I51">
        <v>68</v>
      </c>
      <c r="J51">
        <v>167</v>
      </c>
      <c r="K51">
        <v>149</v>
      </c>
      <c r="L51">
        <v>18</v>
      </c>
      <c r="M51">
        <v>62</v>
      </c>
      <c r="N51">
        <v>57.9</v>
      </c>
      <c r="O51">
        <v>79.099999999999994</v>
      </c>
      <c r="P51">
        <v>1770</v>
      </c>
      <c r="Q51">
        <v>1388</v>
      </c>
      <c r="R51">
        <v>5073</v>
      </c>
      <c r="S51">
        <v>15682</v>
      </c>
      <c r="T51">
        <v>8484</v>
      </c>
      <c r="U51">
        <v>45313</v>
      </c>
      <c r="V51">
        <v>3</v>
      </c>
      <c r="W51">
        <v>5</v>
      </c>
      <c r="X51">
        <v>3</v>
      </c>
      <c r="Y51">
        <v>1167072</v>
      </c>
      <c r="Z51">
        <v>220050</v>
      </c>
      <c r="AA51">
        <v>1167072</v>
      </c>
      <c r="AB51">
        <v>6900080</v>
      </c>
      <c r="AC51">
        <v>3003336</v>
      </c>
      <c r="AD51">
        <v>3896918</v>
      </c>
    </row>
    <row r="52" spans="1:30" x14ac:dyDescent="0.3">
      <c r="A52" t="s">
        <v>144</v>
      </c>
      <c r="B52" t="s">
        <v>142</v>
      </c>
      <c r="C52" t="s">
        <v>230</v>
      </c>
      <c r="D52">
        <v>214</v>
      </c>
      <c r="E52">
        <v>159</v>
      </c>
      <c r="F52">
        <v>55</v>
      </c>
      <c r="G52">
        <v>108</v>
      </c>
      <c r="H52">
        <v>65</v>
      </c>
      <c r="I52">
        <v>43</v>
      </c>
      <c r="J52">
        <v>106</v>
      </c>
      <c r="K52">
        <v>94</v>
      </c>
      <c r="L52">
        <v>12</v>
      </c>
      <c r="M52">
        <v>50.5</v>
      </c>
      <c r="N52">
        <v>40.9</v>
      </c>
      <c r="O52">
        <v>78.2</v>
      </c>
      <c r="P52">
        <v>1241</v>
      </c>
      <c r="Q52">
        <v>647</v>
      </c>
      <c r="R52">
        <v>7609</v>
      </c>
      <c r="S52">
        <v>677669</v>
      </c>
      <c r="T52">
        <v>498488</v>
      </c>
      <c r="U52">
        <v>1195665</v>
      </c>
      <c r="V52">
        <v>2</v>
      </c>
      <c r="W52">
        <v>2</v>
      </c>
      <c r="X52">
        <v>88</v>
      </c>
      <c r="Y52">
        <v>30592555</v>
      </c>
      <c r="Z52">
        <v>16774251</v>
      </c>
      <c r="AA52">
        <v>30592555</v>
      </c>
      <c r="AB52">
        <v>145021166</v>
      </c>
      <c r="AC52">
        <v>79259592</v>
      </c>
      <c r="AD52">
        <v>65761575</v>
      </c>
    </row>
    <row r="53" spans="1:30" x14ac:dyDescent="0.3">
      <c r="A53" t="s">
        <v>201</v>
      </c>
      <c r="B53" t="s">
        <v>196</v>
      </c>
      <c r="C53" t="s">
        <v>230</v>
      </c>
      <c r="D53">
        <v>417</v>
      </c>
      <c r="E53">
        <v>258</v>
      </c>
      <c r="F53">
        <v>159</v>
      </c>
      <c r="G53">
        <v>401</v>
      </c>
      <c r="H53">
        <v>255</v>
      </c>
      <c r="I53">
        <v>146</v>
      </c>
      <c r="J53">
        <v>16</v>
      </c>
      <c r="K53">
        <v>3</v>
      </c>
      <c r="L53">
        <v>13</v>
      </c>
      <c r="M53">
        <v>96.2</v>
      </c>
      <c r="N53">
        <v>98.8</v>
      </c>
      <c r="O53">
        <v>91.8</v>
      </c>
      <c r="P53">
        <v>897697</v>
      </c>
      <c r="Q53">
        <v>1155671</v>
      </c>
      <c r="R53">
        <v>630958</v>
      </c>
      <c r="S53">
        <v>4011255</v>
      </c>
      <c r="T53">
        <v>5226064</v>
      </c>
      <c r="U53">
        <v>2040056</v>
      </c>
      <c r="V53">
        <v>4</v>
      </c>
      <c r="W53">
        <v>4</v>
      </c>
      <c r="X53">
        <v>6</v>
      </c>
      <c r="Y53">
        <v>87693626</v>
      </c>
      <c r="Z53">
        <v>87693626</v>
      </c>
      <c r="AA53">
        <v>48121918</v>
      </c>
      <c r="AB53">
        <v>1672693335</v>
      </c>
      <c r="AC53">
        <v>1348324512</v>
      </c>
      <c r="AD53">
        <v>324368904</v>
      </c>
    </row>
    <row r="54" spans="1:30" x14ac:dyDescent="0.3">
      <c r="A54" t="s">
        <v>171</v>
      </c>
      <c r="B54" t="s">
        <v>142</v>
      </c>
      <c r="C54" t="s">
        <v>231</v>
      </c>
      <c r="D54">
        <v>350</v>
      </c>
      <c r="E54">
        <v>216</v>
      </c>
      <c r="F54">
        <v>134</v>
      </c>
      <c r="G54">
        <v>261</v>
      </c>
      <c r="H54">
        <v>145</v>
      </c>
      <c r="I54">
        <v>116</v>
      </c>
      <c r="J54">
        <v>89</v>
      </c>
      <c r="K54">
        <v>71</v>
      </c>
      <c r="L54">
        <v>18</v>
      </c>
      <c r="M54">
        <v>74.599999999999994</v>
      </c>
      <c r="N54">
        <v>67.099999999999994</v>
      </c>
      <c r="O54">
        <v>86.6</v>
      </c>
      <c r="P54">
        <v>3077</v>
      </c>
      <c r="Q54">
        <v>1599</v>
      </c>
      <c r="R54">
        <v>14531</v>
      </c>
      <c r="S54">
        <v>129081</v>
      </c>
      <c r="T54">
        <v>86025</v>
      </c>
      <c r="U54">
        <v>198483</v>
      </c>
      <c r="V54">
        <v>5</v>
      </c>
      <c r="W54">
        <v>5</v>
      </c>
      <c r="X54">
        <v>41</v>
      </c>
      <c r="Y54">
        <v>12901637</v>
      </c>
      <c r="Z54">
        <v>12901637</v>
      </c>
      <c r="AA54">
        <v>3171284</v>
      </c>
      <c r="AB54">
        <v>45178350</v>
      </c>
      <c r="AC54">
        <v>18581400</v>
      </c>
      <c r="AD54">
        <v>26596722</v>
      </c>
    </row>
    <row r="55" spans="1:30" x14ac:dyDescent="0.3">
      <c r="A55" t="s">
        <v>146</v>
      </c>
      <c r="B55" t="s">
        <v>142</v>
      </c>
      <c r="C55" t="s">
        <v>230</v>
      </c>
      <c r="D55">
        <v>427</v>
      </c>
      <c r="E55">
        <v>324</v>
      </c>
      <c r="F55">
        <v>103</v>
      </c>
      <c r="G55">
        <v>208</v>
      </c>
      <c r="H55">
        <v>139</v>
      </c>
      <c r="I55">
        <v>69</v>
      </c>
      <c r="J55">
        <v>219</v>
      </c>
      <c r="K55">
        <v>185</v>
      </c>
      <c r="L55">
        <v>34</v>
      </c>
      <c r="M55">
        <v>48.7</v>
      </c>
      <c r="N55">
        <v>42.9</v>
      </c>
      <c r="O55">
        <v>67</v>
      </c>
      <c r="P55">
        <v>836</v>
      </c>
      <c r="Q55">
        <v>549</v>
      </c>
      <c r="R55">
        <v>11941</v>
      </c>
      <c r="S55">
        <v>318470</v>
      </c>
      <c r="T55">
        <v>333495</v>
      </c>
      <c r="U55">
        <v>271206</v>
      </c>
      <c r="V55">
        <v>0</v>
      </c>
      <c r="W55">
        <v>1</v>
      </c>
      <c r="X55">
        <v>0</v>
      </c>
      <c r="Y55">
        <v>49918185</v>
      </c>
      <c r="Z55">
        <v>49918185</v>
      </c>
      <c r="AA55">
        <v>9488502</v>
      </c>
      <c r="AB55">
        <v>135986690</v>
      </c>
      <c r="AC55">
        <v>108052380</v>
      </c>
      <c r="AD55">
        <v>27934218</v>
      </c>
    </row>
    <row r="56" spans="1:30" x14ac:dyDescent="0.3">
      <c r="A56" t="s">
        <v>221</v>
      </c>
      <c r="B56" t="s">
        <v>196</v>
      </c>
      <c r="C56" t="s">
        <v>229</v>
      </c>
      <c r="D56">
        <v>492</v>
      </c>
      <c r="E56">
        <v>241</v>
      </c>
      <c r="F56">
        <v>251</v>
      </c>
      <c r="G56">
        <v>442</v>
      </c>
      <c r="H56">
        <v>193</v>
      </c>
      <c r="I56">
        <v>249</v>
      </c>
      <c r="J56">
        <v>50</v>
      </c>
      <c r="K56">
        <v>48</v>
      </c>
      <c r="L56">
        <v>2</v>
      </c>
      <c r="M56">
        <v>89.8</v>
      </c>
      <c r="N56">
        <v>80.099999999999994</v>
      </c>
      <c r="O56">
        <v>99.2</v>
      </c>
      <c r="P56">
        <v>170310</v>
      </c>
      <c r="Q56">
        <v>39092</v>
      </c>
      <c r="R56">
        <v>526930</v>
      </c>
      <c r="S56">
        <v>2476142</v>
      </c>
      <c r="T56">
        <v>1304745</v>
      </c>
      <c r="U56">
        <v>3600870</v>
      </c>
      <c r="V56">
        <v>11</v>
      </c>
      <c r="W56">
        <v>11</v>
      </c>
      <c r="X56">
        <v>448</v>
      </c>
      <c r="Y56">
        <v>145193415</v>
      </c>
      <c r="Z56">
        <v>48940514</v>
      </c>
      <c r="AA56">
        <v>145193415</v>
      </c>
      <c r="AB56">
        <v>1218261864</v>
      </c>
      <c r="AC56">
        <v>314443545</v>
      </c>
      <c r="AD56">
        <v>903818370</v>
      </c>
    </row>
    <row r="57" spans="1:30" x14ac:dyDescent="0.3">
      <c r="A57" t="s">
        <v>190</v>
      </c>
      <c r="B57" t="s">
        <v>176</v>
      </c>
      <c r="C57" t="s">
        <v>229</v>
      </c>
      <c r="D57">
        <v>500</v>
      </c>
      <c r="E57">
        <v>389</v>
      </c>
      <c r="F57">
        <v>111</v>
      </c>
      <c r="G57">
        <v>416</v>
      </c>
      <c r="H57">
        <v>328</v>
      </c>
      <c r="I57">
        <v>88</v>
      </c>
      <c r="J57">
        <v>84</v>
      </c>
      <c r="K57">
        <v>61</v>
      </c>
      <c r="L57">
        <v>23</v>
      </c>
      <c r="M57">
        <v>83.2</v>
      </c>
      <c r="N57">
        <v>84.3</v>
      </c>
      <c r="O57">
        <v>79.3</v>
      </c>
      <c r="P57">
        <v>9714</v>
      </c>
      <c r="Q57">
        <v>7847</v>
      </c>
      <c r="R57">
        <v>29960</v>
      </c>
      <c r="S57">
        <v>1711986</v>
      </c>
      <c r="T57">
        <v>316451</v>
      </c>
      <c r="U57">
        <v>6602642</v>
      </c>
      <c r="V57">
        <v>2</v>
      </c>
      <c r="W57">
        <v>12</v>
      </c>
      <c r="X57">
        <v>2</v>
      </c>
      <c r="Y57">
        <v>301862526</v>
      </c>
      <c r="Z57">
        <v>23939225</v>
      </c>
      <c r="AA57">
        <v>301862526</v>
      </c>
      <c r="AB57">
        <v>855993000</v>
      </c>
      <c r="AC57">
        <v>123099439</v>
      </c>
      <c r="AD57">
        <v>732893262</v>
      </c>
    </row>
    <row r="58" spans="1:30" x14ac:dyDescent="0.3">
      <c r="A58" t="s">
        <v>170</v>
      </c>
      <c r="B58" t="s">
        <v>142</v>
      </c>
      <c r="C58" t="s">
        <v>229</v>
      </c>
      <c r="D58">
        <v>391</v>
      </c>
      <c r="E58">
        <v>214</v>
      </c>
      <c r="F58">
        <v>177</v>
      </c>
      <c r="G58">
        <v>216</v>
      </c>
      <c r="H58">
        <v>109</v>
      </c>
      <c r="I58">
        <v>107</v>
      </c>
      <c r="J58">
        <v>175</v>
      </c>
      <c r="K58">
        <v>105</v>
      </c>
      <c r="L58">
        <v>70</v>
      </c>
      <c r="M58">
        <v>55.2</v>
      </c>
      <c r="N58">
        <v>50.9</v>
      </c>
      <c r="O58">
        <v>60.5</v>
      </c>
      <c r="P58">
        <v>1569</v>
      </c>
      <c r="Q58">
        <v>1131</v>
      </c>
      <c r="R58">
        <v>2719</v>
      </c>
      <c r="S58">
        <v>43280</v>
      </c>
      <c r="T58">
        <v>45004</v>
      </c>
      <c r="U58">
        <v>41194</v>
      </c>
      <c r="V58">
        <v>2</v>
      </c>
      <c r="W58">
        <v>2</v>
      </c>
      <c r="X58">
        <v>13</v>
      </c>
      <c r="Y58">
        <v>2192986</v>
      </c>
      <c r="Z58">
        <v>2192986</v>
      </c>
      <c r="AA58">
        <v>1130911</v>
      </c>
      <c r="AB58">
        <v>16922480</v>
      </c>
      <c r="AC58">
        <v>9630856</v>
      </c>
      <c r="AD58">
        <v>7291338</v>
      </c>
    </row>
    <row r="59" spans="1:30" x14ac:dyDescent="0.3">
      <c r="A59" t="s">
        <v>169</v>
      </c>
      <c r="B59" t="s">
        <v>142</v>
      </c>
      <c r="C59" t="s">
        <v>230</v>
      </c>
      <c r="D59">
        <v>200</v>
      </c>
      <c r="E59">
        <v>125</v>
      </c>
      <c r="F59">
        <v>75</v>
      </c>
      <c r="G59">
        <v>107</v>
      </c>
      <c r="H59">
        <v>55</v>
      </c>
      <c r="I59">
        <v>52</v>
      </c>
      <c r="J59">
        <v>93</v>
      </c>
      <c r="K59">
        <v>70</v>
      </c>
      <c r="L59">
        <v>23</v>
      </c>
      <c r="M59">
        <v>53.5</v>
      </c>
      <c r="N59">
        <v>44</v>
      </c>
      <c r="O59">
        <v>69.3</v>
      </c>
      <c r="P59">
        <v>1419</v>
      </c>
      <c r="Q59">
        <v>662</v>
      </c>
      <c r="R59">
        <v>3113</v>
      </c>
      <c r="S59">
        <v>207415</v>
      </c>
      <c r="T59">
        <v>271802</v>
      </c>
      <c r="U59">
        <v>100103</v>
      </c>
      <c r="V59">
        <v>5</v>
      </c>
      <c r="W59">
        <v>5</v>
      </c>
      <c r="X59">
        <v>33</v>
      </c>
      <c r="Y59">
        <v>22739147</v>
      </c>
      <c r="Z59">
        <v>22739147</v>
      </c>
      <c r="AA59">
        <v>1950839</v>
      </c>
      <c r="AB59">
        <v>41483000</v>
      </c>
      <c r="AC59">
        <v>33975250</v>
      </c>
      <c r="AD59">
        <v>7507725</v>
      </c>
    </row>
    <row r="60" spans="1:30" x14ac:dyDescent="0.3">
      <c r="A60" t="s">
        <v>168</v>
      </c>
      <c r="B60" t="s">
        <v>142</v>
      </c>
      <c r="C60" t="s">
        <v>231</v>
      </c>
      <c r="D60">
        <v>407</v>
      </c>
      <c r="E60">
        <v>238</v>
      </c>
      <c r="F60">
        <v>169</v>
      </c>
      <c r="G60">
        <v>235</v>
      </c>
      <c r="H60">
        <v>140</v>
      </c>
      <c r="I60">
        <v>95</v>
      </c>
      <c r="J60">
        <v>172</v>
      </c>
      <c r="K60">
        <v>98</v>
      </c>
      <c r="L60">
        <v>74</v>
      </c>
      <c r="M60">
        <v>57.7</v>
      </c>
      <c r="N60">
        <v>58.8</v>
      </c>
      <c r="O60">
        <v>56.2</v>
      </c>
      <c r="P60">
        <v>2139</v>
      </c>
      <c r="Q60">
        <v>2053</v>
      </c>
      <c r="R60">
        <v>2139</v>
      </c>
      <c r="S60">
        <v>149188</v>
      </c>
      <c r="T60">
        <v>114699</v>
      </c>
      <c r="U60">
        <v>197758</v>
      </c>
      <c r="V60">
        <v>4</v>
      </c>
      <c r="W60">
        <v>4</v>
      </c>
      <c r="X60">
        <v>11</v>
      </c>
      <c r="Y60">
        <v>8154966</v>
      </c>
      <c r="Z60">
        <v>4701968</v>
      </c>
      <c r="AA60">
        <v>8154966</v>
      </c>
      <c r="AB60">
        <v>60719516</v>
      </c>
      <c r="AC60">
        <v>27298362</v>
      </c>
      <c r="AD60">
        <v>33421102</v>
      </c>
    </row>
    <row r="61" spans="1:30" x14ac:dyDescent="0.3">
      <c r="A61" t="s">
        <v>134</v>
      </c>
      <c r="B61" t="s">
        <v>124</v>
      </c>
      <c r="C61" t="s">
        <v>229</v>
      </c>
      <c r="D61">
        <v>111</v>
      </c>
      <c r="E61">
        <v>65</v>
      </c>
      <c r="F61">
        <v>46</v>
      </c>
      <c r="G61">
        <v>51</v>
      </c>
      <c r="H61">
        <v>28</v>
      </c>
      <c r="I61">
        <v>23</v>
      </c>
      <c r="J61">
        <v>60</v>
      </c>
      <c r="K61">
        <v>37</v>
      </c>
      <c r="L61">
        <v>23</v>
      </c>
      <c r="M61">
        <v>45.9</v>
      </c>
      <c r="N61">
        <v>43.1</v>
      </c>
      <c r="O61">
        <v>50</v>
      </c>
      <c r="P61">
        <v>717</v>
      </c>
      <c r="Q61">
        <v>696</v>
      </c>
      <c r="R61">
        <v>1096</v>
      </c>
      <c r="S61">
        <v>126354</v>
      </c>
      <c r="T61">
        <v>156099</v>
      </c>
      <c r="U61">
        <v>84324</v>
      </c>
      <c r="V61">
        <v>11</v>
      </c>
      <c r="W61">
        <v>28</v>
      </c>
      <c r="X61">
        <v>11</v>
      </c>
      <c r="Y61">
        <v>9296434</v>
      </c>
      <c r="Z61">
        <v>9296434</v>
      </c>
      <c r="AA61">
        <v>1394957</v>
      </c>
      <c r="AB61">
        <v>14025294</v>
      </c>
      <c r="AC61">
        <v>10146435</v>
      </c>
      <c r="AD61">
        <v>3878904</v>
      </c>
    </row>
    <row r="62" spans="1:30" x14ac:dyDescent="0.3">
      <c r="A62" t="s">
        <v>189</v>
      </c>
      <c r="B62" t="s">
        <v>176</v>
      </c>
      <c r="C62" t="s">
        <v>229</v>
      </c>
      <c r="D62">
        <v>500</v>
      </c>
      <c r="E62">
        <v>395</v>
      </c>
      <c r="F62">
        <v>105</v>
      </c>
      <c r="G62">
        <v>459</v>
      </c>
      <c r="H62">
        <v>359</v>
      </c>
      <c r="I62">
        <v>100</v>
      </c>
      <c r="J62">
        <v>41</v>
      </c>
      <c r="K62">
        <v>36</v>
      </c>
      <c r="L62">
        <v>5</v>
      </c>
      <c r="M62">
        <v>91.8</v>
      </c>
      <c r="N62">
        <v>90.9</v>
      </c>
      <c r="O62">
        <v>95.2</v>
      </c>
      <c r="P62">
        <v>21061</v>
      </c>
      <c r="Q62">
        <v>11343</v>
      </c>
      <c r="R62">
        <v>298468</v>
      </c>
      <c r="S62">
        <v>460819</v>
      </c>
      <c r="T62">
        <v>245646</v>
      </c>
      <c r="U62">
        <v>1270277</v>
      </c>
      <c r="V62">
        <v>38</v>
      </c>
      <c r="W62">
        <v>38</v>
      </c>
      <c r="X62">
        <v>52</v>
      </c>
      <c r="Y62">
        <v>9663332</v>
      </c>
      <c r="Z62">
        <v>7284019</v>
      </c>
      <c r="AA62">
        <v>9663332</v>
      </c>
      <c r="AB62">
        <v>230409500</v>
      </c>
      <c r="AC62">
        <v>97030170</v>
      </c>
      <c r="AD62">
        <v>133379085</v>
      </c>
    </row>
    <row r="63" spans="1:30" x14ac:dyDescent="0.3">
      <c r="A63" t="s">
        <v>148</v>
      </c>
      <c r="B63" t="s">
        <v>142</v>
      </c>
      <c r="C63" t="s">
        <v>230</v>
      </c>
      <c r="D63">
        <v>453</v>
      </c>
      <c r="E63">
        <v>339</v>
      </c>
      <c r="F63">
        <v>114</v>
      </c>
      <c r="G63">
        <v>376</v>
      </c>
      <c r="H63">
        <v>270</v>
      </c>
      <c r="I63">
        <v>106</v>
      </c>
      <c r="J63">
        <v>77</v>
      </c>
      <c r="K63">
        <v>69</v>
      </c>
      <c r="L63">
        <v>8</v>
      </c>
      <c r="M63">
        <v>83</v>
      </c>
      <c r="N63">
        <v>79.599999999999994</v>
      </c>
      <c r="O63">
        <v>93</v>
      </c>
      <c r="P63">
        <v>13227</v>
      </c>
      <c r="Q63">
        <v>8525</v>
      </c>
      <c r="R63">
        <v>53588</v>
      </c>
      <c r="S63">
        <v>120359</v>
      </c>
      <c r="T63">
        <v>98356</v>
      </c>
      <c r="U63">
        <v>185790</v>
      </c>
      <c r="V63">
        <v>1</v>
      </c>
      <c r="W63">
        <v>1</v>
      </c>
      <c r="X63">
        <v>3</v>
      </c>
      <c r="Y63">
        <v>6569526</v>
      </c>
      <c r="Z63">
        <v>6569526</v>
      </c>
      <c r="AA63">
        <v>3527790</v>
      </c>
      <c r="AB63">
        <v>54522627</v>
      </c>
      <c r="AC63">
        <v>33342684</v>
      </c>
      <c r="AD63">
        <v>21180060</v>
      </c>
    </row>
    <row r="64" spans="1:30" x14ac:dyDescent="0.3">
      <c r="A64" t="s">
        <v>203</v>
      </c>
      <c r="B64" t="s">
        <v>196</v>
      </c>
      <c r="C64" t="s">
        <v>231</v>
      </c>
      <c r="D64">
        <v>437</v>
      </c>
      <c r="E64">
        <v>316</v>
      </c>
      <c r="F64">
        <v>121</v>
      </c>
      <c r="G64">
        <v>422</v>
      </c>
      <c r="H64">
        <v>302</v>
      </c>
      <c r="I64">
        <v>120</v>
      </c>
      <c r="J64">
        <v>15</v>
      </c>
      <c r="K64">
        <v>14</v>
      </c>
      <c r="L64">
        <v>1</v>
      </c>
      <c r="M64">
        <v>96.6</v>
      </c>
      <c r="N64">
        <v>95.6</v>
      </c>
      <c r="O64">
        <v>99.2</v>
      </c>
      <c r="P64">
        <v>35251</v>
      </c>
      <c r="Q64">
        <v>27894</v>
      </c>
      <c r="R64">
        <v>61832</v>
      </c>
      <c r="S64">
        <v>1217692</v>
      </c>
      <c r="T64">
        <v>1496288</v>
      </c>
      <c r="U64">
        <v>490116</v>
      </c>
      <c r="V64">
        <v>39</v>
      </c>
      <c r="W64">
        <v>39</v>
      </c>
      <c r="X64">
        <v>297</v>
      </c>
      <c r="Y64">
        <v>90771235</v>
      </c>
      <c r="Z64">
        <v>90771235</v>
      </c>
      <c r="AA64">
        <v>11421134</v>
      </c>
      <c r="AB64">
        <v>532131404</v>
      </c>
      <c r="AC64">
        <v>472827008</v>
      </c>
      <c r="AD64">
        <v>59304036</v>
      </c>
    </row>
    <row r="65" spans="1:30" x14ac:dyDescent="0.3">
      <c r="A65" t="s">
        <v>177</v>
      </c>
      <c r="B65" t="s">
        <v>176</v>
      </c>
      <c r="C65" t="s">
        <v>230</v>
      </c>
      <c r="D65">
        <v>68</v>
      </c>
      <c r="E65">
        <v>53</v>
      </c>
      <c r="F65">
        <v>15</v>
      </c>
      <c r="G65">
        <v>35</v>
      </c>
      <c r="H65">
        <v>26</v>
      </c>
      <c r="I65">
        <v>9</v>
      </c>
      <c r="J65">
        <v>33</v>
      </c>
      <c r="K65">
        <v>27</v>
      </c>
      <c r="L65">
        <v>6</v>
      </c>
      <c r="M65">
        <v>51.5</v>
      </c>
      <c r="N65">
        <v>49.1</v>
      </c>
      <c r="O65">
        <v>60</v>
      </c>
      <c r="P65">
        <v>1301</v>
      </c>
      <c r="Q65">
        <v>985</v>
      </c>
      <c r="R65">
        <v>1680</v>
      </c>
      <c r="S65">
        <v>1906303</v>
      </c>
      <c r="T65">
        <v>2443962</v>
      </c>
      <c r="U65">
        <v>6573</v>
      </c>
      <c r="V65">
        <v>6</v>
      </c>
      <c r="W65">
        <v>6</v>
      </c>
      <c r="X65">
        <v>11</v>
      </c>
      <c r="Y65">
        <v>51534980</v>
      </c>
      <c r="Z65">
        <v>51534980</v>
      </c>
      <c r="AA65">
        <v>30015</v>
      </c>
      <c r="AB65">
        <v>129628604</v>
      </c>
      <c r="AC65">
        <v>129529986</v>
      </c>
      <c r="AD65">
        <v>98595</v>
      </c>
    </row>
    <row r="66" spans="1:30" x14ac:dyDescent="0.3">
      <c r="A66" t="s">
        <v>145</v>
      </c>
      <c r="B66" t="s">
        <v>142</v>
      </c>
      <c r="C66" t="s">
        <v>230</v>
      </c>
      <c r="D66">
        <v>450</v>
      </c>
      <c r="E66">
        <v>330</v>
      </c>
      <c r="F66">
        <v>120</v>
      </c>
      <c r="G66">
        <v>281</v>
      </c>
      <c r="H66">
        <v>179</v>
      </c>
      <c r="I66">
        <v>102</v>
      </c>
      <c r="J66">
        <v>169</v>
      </c>
      <c r="K66">
        <v>151</v>
      </c>
      <c r="L66">
        <v>18</v>
      </c>
      <c r="M66">
        <v>62.4</v>
      </c>
      <c r="N66">
        <v>54.2</v>
      </c>
      <c r="O66">
        <v>85</v>
      </c>
      <c r="P66">
        <v>4142</v>
      </c>
      <c r="Q66">
        <v>2230</v>
      </c>
      <c r="R66">
        <v>44785</v>
      </c>
      <c r="S66">
        <v>243257</v>
      </c>
      <c r="T66">
        <v>307331</v>
      </c>
      <c r="U66">
        <v>67053</v>
      </c>
      <c r="V66">
        <v>0</v>
      </c>
      <c r="W66">
        <v>0</v>
      </c>
      <c r="X66">
        <v>0</v>
      </c>
      <c r="Y66">
        <v>34199426</v>
      </c>
      <c r="Z66">
        <v>34199426</v>
      </c>
      <c r="AA66">
        <v>448371</v>
      </c>
      <c r="AB66">
        <v>109465650</v>
      </c>
      <c r="AC66">
        <v>101419230</v>
      </c>
      <c r="AD66">
        <v>8046360</v>
      </c>
    </row>
    <row r="67" spans="1:30" x14ac:dyDescent="0.3">
      <c r="A67" t="s">
        <v>156</v>
      </c>
      <c r="B67" t="s">
        <v>142</v>
      </c>
      <c r="C67" t="s">
        <v>229</v>
      </c>
      <c r="D67">
        <v>405</v>
      </c>
      <c r="E67">
        <v>296</v>
      </c>
      <c r="F67">
        <v>109</v>
      </c>
      <c r="G67">
        <v>323</v>
      </c>
      <c r="H67">
        <v>220</v>
      </c>
      <c r="I67">
        <v>103</v>
      </c>
      <c r="J67">
        <v>82</v>
      </c>
      <c r="K67">
        <v>76</v>
      </c>
      <c r="L67">
        <v>6</v>
      </c>
      <c r="M67">
        <v>79.8</v>
      </c>
      <c r="N67">
        <v>74.3</v>
      </c>
      <c r="O67">
        <v>94.5</v>
      </c>
      <c r="P67">
        <v>8637</v>
      </c>
      <c r="Q67">
        <v>6907</v>
      </c>
      <c r="R67">
        <v>20575</v>
      </c>
      <c r="S67">
        <v>312138</v>
      </c>
      <c r="T67">
        <v>353930</v>
      </c>
      <c r="U67">
        <v>198647</v>
      </c>
      <c r="V67">
        <v>5</v>
      </c>
      <c r="W67">
        <v>5</v>
      </c>
      <c r="X67">
        <v>47</v>
      </c>
      <c r="Y67">
        <v>25442933</v>
      </c>
      <c r="Z67">
        <v>25442933</v>
      </c>
      <c r="AA67">
        <v>6781063</v>
      </c>
      <c r="AB67">
        <v>126415890</v>
      </c>
      <c r="AC67">
        <v>104763280</v>
      </c>
      <c r="AD67">
        <v>21652523</v>
      </c>
    </row>
    <row r="68" spans="1:30" x14ac:dyDescent="0.3">
      <c r="A68" t="s">
        <v>167</v>
      </c>
      <c r="B68" t="s">
        <v>142</v>
      </c>
      <c r="C68" t="s">
        <v>229</v>
      </c>
      <c r="D68">
        <v>350</v>
      </c>
      <c r="E68">
        <v>241</v>
      </c>
      <c r="F68">
        <v>109</v>
      </c>
      <c r="G68">
        <v>132</v>
      </c>
      <c r="H68">
        <v>84</v>
      </c>
      <c r="I68">
        <v>48</v>
      </c>
      <c r="J68">
        <v>218</v>
      </c>
      <c r="K68">
        <v>157</v>
      </c>
      <c r="L68">
        <v>61</v>
      </c>
      <c r="M68">
        <v>37.700000000000003</v>
      </c>
      <c r="N68">
        <v>34.9</v>
      </c>
      <c r="O68">
        <v>44</v>
      </c>
      <c r="P68">
        <v>439</v>
      </c>
      <c r="Q68">
        <v>393</v>
      </c>
      <c r="R68">
        <v>590</v>
      </c>
      <c r="S68">
        <v>8741</v>
      </c>
      <c r="T68">
        <v>5063</v>
      </c>
      <c r="U68">
        <v>16873</v>
      </c>
      <c r="V68">
        <v>1</v>
      </c>
      <c r="W68">
        <v>1</v>
      </c>
      <c r="X68">
        <v>19</v>
      </c>
      <c r="Y68">
        <v>253533</v>
      </c>
      <c r="Z68">
        <v>114708</v>
      </c>
      <c r="AA68">
        <v>253533</v>
      </c>
      <c r="AB68">
        <v>3059350</v>
      </c>
      <c r="AC68">
        <v>1220183</v>
      </c>
      <c r="AD68">
        <v>1839157</v>
      </c>
    </row>
    <row r="69" spans="1:30" x14ac:dyDescent="0.3">
      <c r="A69" t="s">
        <v>206</v>
      </c>
      <c r="B69" t="s">
        <v>196</v>
      </c>
      <c r="C69" t="s">
        <v>231</v>
      </c>
      <c r="D69">
        <v>450</v>
      </c>
      <c r="E69">
        <v>148</v>
      </c>
      <c r="F69">
        <v>302</v>
      </c>
      <c r="G69">
        <v>409</v>
      </c>
      <c r="H69">
        <v>123</v>
      </c>
      <c r="I69">
        <v>286</v>
      </c>
      <c r="J69">
        <v>41</v>
      </c>
      <c r="K69">
        <v>25</v>
      </c>
      <c r="L69">
        <v>16</v>
      </c>
      <c r="M69">
        <v>90.9</v>
      </c>
      <c r="N69">
        <v>83.1</v>
      </c>
      <c r="O69">
        <v>94.7</v>
      </c>
      <c r="P69">
        <v>93503</v>
      </c>
      <c r="Q69">
        <v>96996</v>
      </c>
      <c r="R69">
        <v>91291</v>
      </c>
      <c r="S69">
        <v>4591926</v>
      </c>
      <c r="T69">
        <v>10990382</v>
      </c>
      <c r="U69">
        <v>1456260</v>
      </c>
      <c r="V69">
        <v>7</v>
      </c>
      <c r="W69">
        <v>7</v>
      </c>
      <c r="X69">
        <v>8</v>
      </c>
      <c r="Y69">
        <v>509991037</v>
      </c>
      <c r="Z69">
        <v>509991037</v>
      </c>
      <c r="AA69">
        <v>158992431</v>
      </c>
      <c r="AB69">
        <v>2066366700</v>
      </c>
      <c r="AC69">
        <v>1626576536</v>
      </c>
      <c r="AD69">
        <v>439790520</v>
      </c>
    </row>
    <row r="70" spans="1:30" x14ac:dyDescent="0.3">
      <c r="A70" t="s">
        <v>152</v>
      </c>
      <c r="B70" t="s">
        <v>142</v>
      </c>
      <c r="C70" t="s">
        <v>229</v>
      </c>
      <c r="D70">
        <v>200</v>
      </c>
      <c r="E70">
        <v>126</v>
      </c>
      <c r="F70">
        <v>74</v>
      </c>
      <c r="G70">
        <v>174</v>
      </c>
      <c r="H70">
        <v>103</v>
      </c>
      <c r="I70">
        <v>71</v>
      </c>
      <c r="J70">
        <v>26</v>
      </c>
      <c r="K70">
        <v>23</v>
      </c>
      <c r="L70">
        <v>3</v>
      </c>
      <c r="M70">
        <v>87</v>
      </c>
      <c r="N70">
        <v>81.7</v>
      </c>
      <c r="O70">
        <v>95.9</v>
      </c>
      <c r="P70">
        <v>14601</v>
      </c>
      <c r="Q70">
        <v>4526</v>
      </c>
      <c r="R70">
        <v>41508</v>
      </c>
      <c r="S70">
        <v>194181</v>
      </c>
      <c r="T70">
        <v>68979</v>
      </c>
      <c r="U70">
        <v>407363</v>
      </c>
      <c r="V70">
        <v>127</v>
      </c>
      <c r="W70">
        <v>127</v>
      </c>
      <c r="X70">
        <v>636</v>
      </c>
      <c r="Y70">
        <v>9362187</v>
      </c>
      <c r="Z70">
        <v>1325620</v>
      </c>
      <c r="AA70">
        <v>9362187</v>
      </c>
      <c r="AB70">
        <v>38836200</v>
      </c>
      <c r="AC70">
        <v>8691354</v>
      </c>
      <c r="AD70">
        <v>30144862</v>
      </c>
    </row>
    <row r="71" spans="1:30" x14ac:dyDescent="0.3">
      <c r="A71" t="s">
        <v>220</v>
      </c>
      <c r="B71" t="s">
        <v>196</v>
      </c>
      <c r="C71" t="s">
        <v>230</v>
      </c>
      <c r="D71">
        <v>500</v>
      </c>
      <c r="E71">
        <v>351</v>
      </c>
      <c r="F71">
        <v>149</v>
      </c>
      <c r="G71">
        <v>430</v>
      </c>
      <c r="H71">
        <v>289</v>
      </c>
      <c r="I71">
        <v>141</v>
      </c>
      <c r="J71">
        <v>70</v>
      </c>
      <c r="K71">
        <v>62</v>
      </c>
      <c r="L71">
        <v>8</v>
      </c>
      <c r="M71">
        <v>86</v>
      </c>
      <c r="N71">
        <v>82.3</v>
      </c>
      <c r="O71">
        <v>94.6</v>
      </c>
      <c r="P71">
        <v>29592</v>
      </c>
      <c r="Q71">
        <v>8897</v>
      </c>
      <c r="R71">
        <v>149380</v>
      </c>
      <c r="S71">
        <v>786633</v>
      </c>
      <c r="T71">
        <v>734387</v>
      </c>
      <c r="U71">
        <v>909711</v>
      </c>
      <c r="V71">
        <v>0</v>
      </c>
      <c r="W71">
        <v>0</v>
      </c>
      <c r="X71">
        <v>24</v>
      </c>
      <c r="Y71">
        <v>61676339</v>
      </c>
      <c r="Z71">
        <v>61676339</v>
      </c>
      <c r="AA71">
        <v>19540344</v>
      </c>
      <c r="AB71">
        <v>393316500</v>
      </c>
      <c r="AC71">
        <v>257769837</v>
      </c>
      <c r="AD71">
        <v>135546939</v>
      </c>
    </row>
    <row r="72" spans="1:30" x14ac:dyDescent="0.3">
      <c r="A72" t="s">
        <v>155</v>
      </c>
      <c r="B72" t="s">
        <v>142</v>
      </c>
      <c r="C72" t="s">
        <v>229</v>
      </c>
      <c r="D72">
        <v>484</v>
      </c>
      <c r="E72">
        <v>284</v>
      </c>
      <c r="F72">
        <v>200</v>
      </c>
      <c r="G72">
        <v>259</v>
      </c>
      <c r="H72">
        <v>135</v>
      </c>
      <c r="I72">
        <v>124</v>
      </c>
      <c r="J72">
        <v>225</v>
      </c>
      <c r="K72">
        <v>149</v>
      </c>
      <c r="L72">
        <v>76</v>
      </c>
      <c r="M72">
        <v>53.5</v>
      </c>
      <c r="N72">
        <v>47.5</v>
      </c>
      <c r="O72">
        <v>62</v>
      </c>
      <c r="P72">
        <v>1149</v>
      </c>
      <c r="Q72">
        <v>877</v>
      </c>
      <c r="R72">
        <v>1494</v>
      </c>
      <c r="S72">
        <v>15361</v>
      </c>
      <c r="T72">
        <v>8617</v>
      </c>
      <c r="U72">
        <v>24938</v>
      </c>
      <c r="V72">
        <v>1</v>
      </c>
      <c r="W72">
        <v>1</v>
      </c>
      <c r="X72">
        <v>2</v>
      </c>
      <c r="Y72">
        <v>1967967</v>
      </c>
      <c r="Z72">
        <v>1130611</v>
      </c>
      <c r="AA72">
        <v>1967967</v>
      </c>
      <c r="AB72">
        <v>7434724</v>
      </c>
      <c r="AC72">
        <v>2447228</v>
      </c>
      <c r="AD72">
        <v>4987600</v>
      </c>
    </row>
    <row r="73" spans="1:30" x14ac:dyDescent="0.3">
      <c r="A73" t="s">
        <v>166</v>
      </c>
      <c r="B73" t="s">
        <v>142</v>
      </c>
      <c r="C73" t="s">
        <v>231</v>
      </c>
      <c r="D73">
        <v>418</v>
      </c>
      <c r="E73">
        <v>231</v>
      </c>
      <c r="F73">
        <v>187</v>
      </c>
      <c r="G73">
        <v>304</v>
      </c>
      <c r="H73">
        <v>142</v>
      </c>
      <c r="I73">
        <v>162</v>
      </c>
      <c r="J73">
        <v>114</v>
      </c>
      <c r="K73">
        <v>89</v>
      </c>
      <c r="L73">
        <v>25</v>
      </c>
      <c r="M73">
        <v>72.7</v>
      </c>
      <c r="N73">
        <v>61.5</v>
      </c>
      <c r="O73">
        <v>86.6</v>
      </c>
      <c r="P73">
        <v>8243</v>
      </c>
      <c r="Q73">
        <v>2667</v>
      </c>
      <c r="R73">
        <v>26626</v>
      </c>
      <c r="S73">
        <v>299672</v>
      </c>
      <c r="T73">
        <v>177118</v>
      </c>
      <c r="U73">
        <v>451063</v>
      </c>
      <c r="V73">
        <v>2</v>
      </c>
      <c r="W73">
        <v>2</v>
      </c>
      <c r="X73">
        <v>21</v>
      </c>
      <c r="Y73">
        <v>25777483</v>
      </c>
      <c r="Z73">
        <v>18462499</v>
      </c>
      <c r="AA73">
        <v>25777483</v>
      </c>
      <c r="AB73">
        <v>125262896</v>
      </c>
      <c r="AC73">
        <v>40914258</v>
      </c>
      <c r="AD73">
        <v>84348781</v>
      </c>
    </row>
    <row r="74" spans="1:30" x14ac:dyDescent="0.3">
      <c r="A74" t="s">
        <v>199</v>
      </c>
      <c r="B74" t="s">
        <v>196</v>
      </c>
      <c r="C74" t="s">
        <v>230</v>
      </c>
      <c r="D74">
        <v>213</v>
      </c>
      <c r="E74">
        <v>134</v>
      </c>
      <c r="F74">
        <v>79</v>
      </c>
      <c r="G74">
        <v>148</v>
      </c>
      <c r="H74">
        <v>85</v>
      </c>
      <c r="I74">
        <v>63</v>
      </c>
      <c r="J74">
        <v>65</v>
      </c>
      <c r="K74">
        <v>49</v>
      </c>
      <c r="L74">
        <v>16</v>
      </c>
      <c r="M74">
        <v>69.5</v>
      </c>
      <c r="N74">
        <v>63.4</v>
      </c>
      <c r="O74">
        <v>79.7</v>
      </c>
      <c r="P74">
        <v>4511</v>
      </c>
      <c r="Q74">
        <v>4014</v>
      </c>
      <c r="R74">
        <v>8677</v>
      </c>
      <c r="S74">
        <v>166072</v>
      </c>
      <c r="T74">
        <v>211217</v>
      </c>
      <c r="U74">
        <v>89498</v>
      </c>
      <c r="V74">
        <v>2</v>
      </c>
      <c r="W74">
        <v>2</v>
      </c>
      <c r="X74">
        <v>159</v>
      </c>
      <c r="Y74">
        <v>9590816</v>
      </c>
      <c r="Z74">
        <v>9590816</v>
      </c>
      <c r="AA74">
        <v>4159119</v>
      </c>
      <c r="AB74">
        <v>35373336</v>
      </c>
      <c r="AC74">
        <v>28303078</v>
      </c>
      <c r="AD74">
        <v>7070342</v>
      </c>
    </row>
    <row r="75" spans="1:30" x14ac:dyDescent="0.3">
      <c r="A75" t="s">
        <v>188</v>
      </c>
      <c r="B75" t="s">
        <v>176</v>
      </c>
      <c r="C75" t="s">
        <v>231</v>
      </c>
      <c r="D75">
        <v>301</v>
      </c>
      <c r="E75">
        <v>208</v>
      </c>
      <c r="F75">
        <v>93</v>
      </c>
      <c r="G75">
        <v>103</v>
      </c>
      <c r="H75">
        <v>70</v>
      </c>
      <c r="I75">
        <v>33</v>
      </c>
      <c r="J75">
        <v>198</v>
      </c>
      <c r="K75">
        <v>138</v>
      </c>
      <c r="L75">
        <v>60</v>
      </c>
      <c r="M75">
        <v>34.200000000000003</v>
      </c>
      <c r="N75">
        <v>33.700000000000003</v>
      </c>
      <c r="O75">
        <v>35.5</v>
      </c>
      <c r="P75">
        <v>201</v>
      </c>
      <c r="Q75">
        <v>227</v>
      </c>
      <c r="R75">
        <v>139</v>
      </c>
      <c r="S75">
        <v>443583</v>
      </c>
      <c r="T75">
        <v>144725</v>
      </c>
      <c r="U75">
        <v>1111998</v>
      </c>
      <c r="V75">
        <v>2</v>
      </c>
      <c r="W75">
        <v>2</v>
      </c>
      <c r="X75">
        <v>4</v>
      </c>
      <c r="Y75">
        <v>68654539</v>
      </c>
      <c r="Z75">
        <v>23353138</v>
      </c>
      <c r="AA75">
        <v>68654539</v>
      </c>
      <c r="AB75">
        <v>133518483</v>
      </c>
      <c r="AC75">
        <v>30102800</v>
      </c>
      <c r="AD75">
        <v>103415814</v>
      </c>
    </row>
    <row r="76" spans="1:30" x14ac:dyDescent="0.3">
      <c r="A76" t="s">
        <v>178</v>
      </c>
      <c r="B76" t="s">
        <v>176</v>
      </c>
      <c r="C76" t="s">
        <v>230</v>
      </c>
      <c r="D76">
        <v>207</v>
      </c>
      <c r="E76">
        <v>177</v>
      </c>
      <c r="F76">
        <v>30</v>
      </c>
      <c r="G76">
        <v>160</v>
      </c>
      <c r="H76">
        <v>142</v>
      </c>
      <c r="I76">
        <v>18</v>
      </c>
      <c r="J76">
        <v>47</v>
      </c>
      <c r="K76">
        <v>35</v>
      </c>
      <c r="L76">
        <v>12</v>
      </c>
      <c r="M76">
        <v>77.3</v>
      </c>
      <c r="N76">
        <v>80.2</v>
      </c>
      <c r="O76">
        <v>60</v>
      </c>
      <c r="P76">
        <v>5717</v>
      </c>
      <c r="Q76">
        <v>5819</v>
      </c>
      <c r="R76">
        <v>2360</v>
      </c>
      <c r="S76">
        <v>122810</v>
      </c>
      <c r="T76">
        <v>135484</v>
      </c>
      <c r="U76">
        <v>48035</v>
      </c>
      <c r="V76">
        <v>5</v>
      </c>
      <c r="W76">
        <v>6</v>
      </c>
      <c r="X76">
        <v>5</v>
      </c>
      <c r="Y76">
        <v>6009985</v>
      </c>
      <c r="Z76">
        <v>6009985</v>
      </c>
      <c r="AA76">
        <v>521129</v>
      </c>
      <c r="AB76">
        <v>25421670</v>
      </c>
      <c r="AC76">
        <v>23980668</v>
      </c>
      <c r="AD76">
        <v>1441050</v>
      </c>
    </row>
    <row r="77" spans="1:30" x14ac:dyDescent="0.3">
      <c r="A77" t="s">
        <v>184</v>
      </c>
      <c r="B77" t="s">
        <v>176</v>
      </c>
      <c r="C77" t="s">
        <v>229</v>
      </c>
      <c r="D77">
        <v>500</v>
      </c>
      <c r="E77">
        <v>398</v>
      </c>
      <c r="F77">
        <v>102</v>
      </c>
      <c r="G77">
        <v>443</v>
      </c>
      <c r="H77">
        <v>341</v>
      </c>
      <c r="I77">
        <v>102</v>
      </c>
      <c r="J77">
        <v>57</v>
      </c>
      <c r="K77">
        <v>57</v>
      </c>
      <c r="L77">
        <v>0</v>
      </c>
      <c r="M77">
        <v>88.6</v>
      </c>
      <c r="N77">
        <v>85.7</v>
      </c>
      <c r="O77">
        <v>100</v>
      </c>
      <c r="P77">
        <v>13781</v>
      </c>
      <c r="Q77">
        <v>10841</v>
      </c>
      <c r="R77">
        <v>25975</v>
      </c>
      <c r="S77">
        <v>254063</v>
      </c>
      <c r="T77">
        <v>186843</v>
      </c>
      <c r="U77">
        <v>516351</v>
      </c>
      <c r="V77">
        <v>19</v>
      </c>
      <c r="W77">
        <v>19</v>
      </c>
      <c r="X77">
        <v>1344</v>
      </c>
      <c r="Y77">
        <v>17443427</v>
      </c>
      <c r="Z77">
        <v>17443427</v>
      </c>
      <c r="AA77">
        <v>17330254</v>
      </c>
      <c r="AB77">
        <v>127031500</v>
      </c>
      <c r="AC77">
        <v>74363514</v>
      </c>
      <c r="AD77">
        <v>52667802</v>
      </c>
    </row>
    <row r="78" spans="1:30" x14ac:dyDescent="0.3">
      <c r="A78" t="s">
        <v>182</v>
      </c>
      <c r="B78" t="s">
        <v>176</v>
      </c>
      <c r="C78" t="s">
        <v>231</v>
      </c>
      <c r="D78">
        <v>78</v>
      </c>
      <c r="E78">
        <v>55</v>
      </c>
      <c r="F78">
        <v>23</v>
      </c>
      <c r="G78">
        <v>74</v>
      </c>
      <c r="H78">
        <v>52</v>
      </c>
      <c r="I78">
        <v>22</v>
      </c>
      <c r="J78">
        <v>4</v>
      </c>
      <c r="K78">
        <v>3</v>
      </c>
      <c r="L78">
        <v>1</v>
      </c>
      <c r="M78">
        <v>94.9</v>
      </c>
      <c r="N78">
        <v>94.5</v>
      </c>
      <c r="O78">
        <v>95.7</v>
      </c>
      <c r="P78">
        <v>6434</v>
      </c>
      <c r="Q78">
        <v>4965</v>
      </c>
      <c r="R78">
        <v>9030</v>
      </c>
      <c r="S78">
        <v>1644092</v>
      </c>
      <c r="T78">
        <v>481714</v>
      </c>
      <c r="U78">
        <v>4423691</v>
      </c>
      <c r="V78">
        <v>523</v>
      </c>
      <c r="W78">
        <v>844</v>
      </c>
      <c r="X78">
        <v>523</v>
      </c>
      <c r="Y78">
        <v>59600308</v>
      </c>
      <c r="Z78">
        <v>10306809</v>
      </c>
      <c r="AA78">
        <v>59600308</v>
      </c>
      <c r="AB78">
        <v>128239176</v>
      </c>
      <c r="AC78">
        <v>26494270</v>
      </c>
      <c r="AD78">
        <v>101744893</v>
      </c>
    </row>
    <row r="79" spans="1:30" x14ac:dyDescent="0.3">
      <c r="A79" t="s">
        <v>197</v>
      </c>
      <c r="B79" t="s">
        <v>196</v>
      </c>
      <c r="C79" t="s">
        <v>230</v>
      </c>
      <c r="D79">
        <v>350</v>
      </c>
      <c r="E79">
        <v>202</v>
      </c>
      <c r="F79">
        <v>148</v>
      </c>
      <c r="G79">
        <v>307</v>
      </c>
      <c r="H79">
        <v>180</v>
      </c>
      <c r="I79">
        <v>127</v>
      </c>
      <c r="J79">
        <v>43</v>
      </c>
      <c r="K79">
        <v>22</v>
      </c>
      <c r="L79">
        <v>21</v>
      </c>
      <c r="M79">
        <v>87.7</v>
      </c>
      <c r="N79">
        <v>89.1</v>
      </c>
      <c r="O79">
        <v>85.8</v>
      </c>
      <c r="P79">
        <v>36255</v>
      </c>
      <c r="Q79">
        <v>26271</v>
      </c>
      <c r="R79">
        <v>93925</v>
      </c>
      <c r="S79">
        <v>748936</v>
      </c>
      <c r="T79">
        <v>908547</v>
      </c>
      <c r="U79">
        <v>531089</v>
      </c>
      <c r="V79">
        <v>7</v>
      </c>
      <c r="W79">
        <v>11</v>
      </c>
      <c r="X79">
        <v>7</v>
      </c>
      <c r="Y79">
        <v>34958376</v>
      </c>
      <c r="Z79">
        <v>34958376</v>
      </c>
      <c r="AA79">
        <v>12802681</v>
      </c>
      <c r="AB79">
        <v>262127600</v>
      </c>
      <c r="AC79">
        <v>183526494</v>
      </c>
      <c r="AD79">
        <v>78601172</v>
      </c>
    </row>
    <row r="80" spans="1:30" x14ac:dyDescent="0.3">
      <c r="A80" t="s">
        <v>219</v>
      </c>
      <c r="B80" t="s">
        <v>196</v>
      </c>
      <c r="C80" t="s">
        <v>229</v>
      </c>
      <c r="D80">
        <v>200</v>
      </c>
      <c r="E80">
        <v>77</v>
      </c>
      <c r="F80">
        <v>123</v>
      </c>
      <c r="G80">
        <v>104</v>
      </c>
      <c r="H80">
        <v>51</v>
      </c>
      <c r="I80">
        <v>53</v>
      </c>
      <c r="J80">
        <v>96</v>
      </c>
      <c r="K80">
        <v>26</v>
      </c>
      <c r="L80">
        <v>70</v>
      </c>
      <c r="M80">
        <v>52</v>
      </c>
      <c r="N80">
        <v>66.2</v>
      </c>
      <c r="O80">
        <v>43.1</v>
      </c>
      <c r="P80">
        <v>1398</v>
      </c>
      <c r="Q80">
        <v>9960</v>
      </c>
      <c r="R80">
        <v>608</v>
      </c>
      <c r="S80">
        <v>799998</v>
      </c>
      <c r="T80">
        <v>1780114</v>
      </c>
      <c r="U80">
        <v>186430</v>
      </c>
      <c r="V80">
        <v>31</v>
      </c>
      <c r="W80">
        <v>37</v>
      </c>
      <c r="X80">
        <v>31</v>
      </c>
      <c r="Y80">
        <v>56207711</v>
      </c>
      <c r="Z80">
        <v>56207711</v>
      </c>
      <c r="AA80">
        <v>8097581</v>
      </c>
      <c r="AB80">
        <v>159999600</v>
      </c>
      <c r="AC80">
        <v>137068778</v>
      </c>
      <c r="AD80">
        <v>22930890</v>
      </c>
    </row>
    <row r="81" spans="1:30" x14ac:dyDescent="0.3">
      <c r="A81" t="s">
        <v>219</v>
      </c>
      <c r="B81" t="s">
        <v>196</v>
      </c>
      <c r="C81" t="s">
        <v>231</v>
      </c>
      <c r="D81">
        <v>411</v>
      </c>
      <c r="E81">
        <v>132</v>
      </c>
      <c r="F81">
        <v>279</v>
      </c>
      <c r="G81">
        <v>316</v>
      </c>
      <c r="H81">
        <v>102</v>
      </c>
      <c r="I81">
        <v>214</v>
      </c>
      <c r="J81">
        <v>95</v>
      </c>
      <c r="K81">
        <v>30</v>
      </c>
      <c r="L81">
        <v>65</v>
      </c>
      <c r="M81">
        <v>76.900000000000006</v>
      </c>
      <c r="N81">
        <v>77.3</v>
      </c>
      <c r="O81">
        <v>76.7</v>
      </c>
      <c r="P81">
        <v>10248</v>
      </c>
      <c r="Q81">
        <v>13750</v>
      </c>
      <c r="R81">
        <v>9515</v>
      </c>
      <c r="S81">
        <v>1726164</v>
      </c>
      <c r="T81">
        <v>3209238</v>
      </c>
      <c r="U81">
        <v>1024494</v>
      </c>
      <c r="V81">
        <v>65</v>
      </c>
      <c r="W81">
        <v>76</v>
      </c>
      <c r="X81">
        <v>65</v>
      </c>
      <c r="Y81">
        <v>280153191</v>
      </c>
      <c r="Z81">
        <v>280153191</v>
      </c>
      <c r="AA81">
        <v>49189943</v>
      </c>
      <c r="AB81">
        <v>709453404</v>
      </c>
      <c r="AC81">
        <v>423619416</v>
      </c>
      <c r="AD81">
        <v>285833826</v>
      </c>
    </row>
    <row r="82" spans="1:30" x14ac:dyDescent="0.3">
      <c r="A82" t="s">
        <v>207</v>
      </c>
      <c r="B82" t="s">
        <v>196</v>
      </c>
      <c r="C82" t="s">
        <v>231</v>
      </c>
      <c r="D82">
        <v>208</v>
      </c>
      <c r="E82">
        <v>88</v>
      </c>
      <c r="F82">
        <v>120</v>
      </c>
      <c r="G82">
        <v>188</v>
      </c>
      <c r="H82">
        <v>76</v>
      </c>
      <c r="I82">
        <v>112</v>
      </c>
      <c r="J82">
        <v>20</v>
      </c>
      <c r="K82">
        <v>12</v>
      </c>
      <c r="L82">
        <v>8</v>
      </c>
      <c r="M82">
        <v>90.4</v>
      </c>
      <c r="N82">
        <v>86.4</v>
      </c>
      <c r="O82">
        <v>93.3</v>
      </c>
      <c r="P82">
        <v>71363</v>
      </c>
      <c r="Q82">
        <v>50355</v>
      </c>
      <c r="R82">
        <v>93124</v>
      </c>
      <c r="S82">
        <v>1608536</v>
      </c>
      <c r="T82">
        <v>1913251</v>
      </c>
      <c r="U82">
        <v>1385079</v>
      </c>
      <c r="V82">
        <v>1</v>
      </c>
      <c r="W82">
        <v>1</v>
      </c>
      <c r="X82">
        <v>2</v>
      </c>
      <c r="Y82">
        <v>126422748</v>
      </c>
      <c r="Z82">
        <v>126422748</v>
      </c>
      <c r="AA82">
        <v>36106841</v>
      </c>
      <c r="AB82">
        <v>334575488</v>
      </c>
      <c r="AC82">
        <v>168366088</v>
      </c>
      <c r="AD82">
        <v>166209480</v>
      </c>
    </row>
    <row r="83" spans="1:30" x14ac:dyDescent="0.3">
      <c r="A83" t="s">
        <v>165</v>
      </c>
      <c r="B83" t="s">
        <v>142</v>
      </c>
      <c r="C83" t="s">
        <v>231</v>
      </c>
      <c r="D83">
        <v>300</v>
      </c>
      <c r="E83">
        <v>128</v>
      </c>
      <c r="F83">
        <v>172</v>
      </c>
      <c r="G83">
        <v>259</v>
      </c>
      <c r="H83">
        <v>97</v>
      </c>
      <c r="I83">
        <v>162</v>
      </c>
      <c r="J83">
        <v>41</v>
      </c>
      <c r="K83">
        <v>31</v>
      </c>
      <c r="L83">
        <v>10</v>
      </c>
      <c r="M83">
        <v>86.3</v>
      </c>
      <c r="N83">
        <v>75.8</v>
      </c>
      <c r="O83">
        <v>94.2</v>
      </c>
      <c r="P83">
        <v>32200</v>
      </c>
      <c r="Q83">
        <v>8647</v>
      </c>
      <c r="R83">
        <v>100839</v>
      </c>
      <c r="S83">
        <v>474250</v>
      </c>
      <c r="T83">
        <v>64384</v>
      </c>
      <c r="U83">
        <v>779266</v>
      </c>
      <c r="V83">
        <v>4</v>
      </c>
      <c r="W83">
        <v>4</v>
      </c>
      <c r="X83">
        <v>93</v>
      </c>
      <c r="Y83">
        <v>19233017</v>
      </c>
      <c r="Z83">
        <v>2224294</v>
      </c>
      <c r="AA83">
        <v>19233017</v>
      </c>
      <c r="AB83">
        <v>142275000</v>
      </c>
      <c r="AC83">
        <v>8241152</v>
      </c>
      <c r="AD83">
        <v>134033752</v>
      </c>
    </row>
    <row r="84" spans="1:30" x14ac:dyDescent="0.3">
      <c r="A84" t="s">
        <v>164</v>
      </c>
      <c r="B84" t="s">
        <v>142</v>
      </c>
      <c r="C84" t="s">
        <v>229</v>
      </c>
      <c r="D84">
        <v>300</v>
      </c>
      <c r="E84">
        <v>140</v>
      </c>
      <c r="F84">
        <v>160</v>
      </c>
      <c r="G84">
        <v>162</v>
      </c>
      <c r="H84">
        <v>70</v>
      </c>
      <c r="I84">
        <v>92</v>
      </c>
      <c r="J84">
        <v>138</v>
      </c>
      <c r="K84">
        <v>70</v>
      </c>
      <c r="L84">
        <v>68</v>
      </c>
      <c r="M84">
        <v>54</v>
      </c>
      <c r="N84">
        <v>50</v>
      </c>
      <c r="O84">
        <v>57.5</v>
      </c>
      <c r="P84">
        <v>1625</v>
      </c>
      <c r="Q84">
        <v>981</v>
      </c>
      <c r="R84">
        <v>2435</v>
      </c>
      <c r="S84">
        <v>258107</v>
      </c>
      <c r="T84">
        <v>46847</v>
      </c>
      <c r="U84">
        <v>442958</v>
      </c>
      <c r="V84">
        <v>5</v>
      </c>
      <c r="W84">
        <v>8</v>
      </c>
      <c r="X84">
        <v>5</v>
      </c>
      <c r="Y84">
        <v>34240872</v>
      </c>
      <c r="Z84">
        <v>2240733</v>
      </c>
      <c r="AA84">
        <v>34240872</v>
      </c>
      <c r="AB84">
        <v>77432100</v>
      </c>
      <c r="AC84">
        <v>6558580</v>
      </c>
      <c r="AD84">
        <v>70873280</v>
      </c>
    </row>
    <row r="85" spans="1:30" x14ac:dyDescent="0.3">
      <c r="A85" t="s">
        <v>218</v>
      </c>
      <c r="B85" t="s">
        <v>196</v>
      </c>
      <c r="C85" t="s">
        <v>231</v>
      </c>
      <c r="D85">
        <v>430</v>
      </c>
      <c r="E85">
        <v>164</v>
      </c>
      <c r="F85">
        <v>266</v>
      </c>
      <c r="G85">
        <v>382</v>
      </c>
      <c r="H85">
        <v>132</v>
      </c>
      <c r="I85">
        <v>250</v>
      </c>
      <c r="J85">
        <v>48</v>
      </c>
      <c r="K85">
        <v>32</v>
      </c>
      <c r="L85">
        <v>16</v>
      </c>
      <c r="M85">
        <v>88.8</v>
      </c>
      <c r="N85">
        <v>80.5</v>
      </c>
      <c r="O85">
        <v>94</v>
      </c>
      <c r="P85">
        <v>443835</v>
      </c>
      <c r="Q85">
        <v>256110</v>
      </c>
      <c r="R85">
        <v>566253</v>
      </c>
      <c r="S85">
        <v>2356709</v>
      </c>
      <c r="T85">
        <v>3514940</v>
      </c>
      <c r="U85">
        <v>1642611</v>
      </c>
      <c r="V85">
        <v>29</v>
      </c>
      <c r="W85">
        <v>29</v>
      </c>
      <c r="X85">
        <v>39</v>
      </c>
      <c r="Y85">
        <v>73892978</v>
      </c>
      <c r="Z85">
        <v>73892978</v>
      </c>
      <c r="AA85">
        <v>24782044</v>
      </c>
      <c r="AB85">
        <v>1013384870</v>
      </c>
      <c r="AC85">
        <v>576450160</v>
      </c>
      <c r="AD85">
        <v>436934526</v>
      </c>
    </row>
    <row r="86" spans="1:30" x14ac:dyDescent="0.3">
      <c r="A86" t="s">
        <v>217</v>
      </c>
      <c r="B86" t="s">
        <v>196</v>
      </c>
      <c r="C86" t="s">
        <v>229</v>
      </c>
      <c r="D86">
        <v>378</v>
      </c>
      <c r="E86">
        <v>195</v>
      </c>
      <c r="F86">
        <v>183</v>
      </c>
      <c r="G86">
        <v>329</v>
      </c>
      <c r="H86">
        <v>147</v>
      </c>
      <c r="I86">
        <v>182</v>
      </c>
      <c r="J86">
        <v>49</v>
      </c>
      <c r="K86">
        <v>48</v>
      </c>
      <c r="L86">
        <v>1</v>
      </c>
      <c r="M86">
        <v>87</v>
      </c>
      <c r="N86">
        <v>75.400000000000006</v>
      </c>
      <c r="O86">
        <v>99.5</v>
      </c>
      <c r="P86">
        <v>107845</v>
      </c>
      <c r="Q86">
        <v>20535</v>
      </c>
      <c r="R86">
        <v>319921</v>
      </c>
      <c r="S86">
        <v>2458241</v>
      </c>
      <c r="T86">
        <v>3562731</v>
      </c>
      <c r="U86">
        <v>1281325</v>
      </c>
      <c r="V86">
        <v>1</v>
      </c>
      <c r="W86">
        <v>1</v>
      </c>
      <c r="X86">
        <v>828</v>
      </c>
      <c r="Y86">
        <v>530444506</v>
      </c>
      <c r="Z86">
        <v>530444506</v>
      </c>
      <c r="AA86">
        <v>27754167</v>
      </c>
      <c r="AB86">
        <v>929215098</v>
      </c>
      <c r="AC86">
        <v>694732545</v>
      </c>
      <c r="AD86">
        <v>234482475</v>
      </c>
    </row>
    <row r="87" spans="1:30" x14ac:dyDescent="0.3">
      <c r="A87" t="s">
        <v>163</v>
      </c>
      <c r="B87" t="s">
        <v>142</v>
      </c>
      <c r="C87" t="s">
        <v>229</v>
      </c>
      <c r="D87">
        <v>499</v>
      </c>
      <c r="E87">
        <v>332</v>
      </c>
      <c r="F87">
        <v>167</v>
      </c>
      <c r="G87">
        <v>260</v>
      </c>
      <c r="H87">
        <v>162</v>
      </c>
      <c r="I87">
        <v>98</v>
      </c>
      <c r="J87">
        <v>239</v>
      </c>
      <c r="K87">
        <v>170</v>
      </c>
      <c r="L87">
        <v>69</v>
      </c>
      <c r="M87">
        <v>52.1</v>
      </c>
      <c r="N87">
        <v>48.8</v>
      </c>
      <c r="O87">
        <v>58.7</v>
      </c>
      <c r="P87">
        <v>1168</v>
      </c>
      <c r="Q87">
        <v>910</v>
      </c>
      <c r="R87">
        <v>3120</v>
      </c>
      <c r="S87">
        <v>108226</v>
      </c>
      <c r="T87">
        <v>33976</v>
      </c>
      <c r="U87">
        <v>255837</v>
      </c>
      <c r="V87">
        <v>3</v>
      </c>
      <c r="W87">
        <v>3</v>
      </c>
      <c r="X87">
        <v>10</v>
      </c>
      <c r="Y87">
        <v>12719795</v>
      </c>
      <c r="Z87">
        <v>4273211</v>
      </c>
      <c r="AA87">
        <v>12719795</v>
      </c>
      <c r="AB87">
        <v>54004774</v>
      </c>
      <c r="AC87">
        <v>11280032</v>
      </c>
      <c r="AD87">
        <v>42724779</v>
      </c>
    </row>
    <row r="88" spans="1:30" x14ac:dyDescent="0.3">
      <c r="A88" t="s">
        <v>133</v>
      </c>
      <c r="B88" t="s">
        <v>124</v>
      </c>
      <c r="C88" t="s">
        <v>229</v>
      </c>
      <c r="D88">
        <v>90</v>
      </c>
      <c r="E88">
        <v>30</v>
      </c>
      <c r="F88">
        <v>60</v>
      </c>
      <c r="G88">
        <v>57</v>
      </c>
      <c r="H88">
        <v>18</v>
      </c>
      <c r="I88">
        <v>39</v>
      </c>
      <c r="J88">
        <v>33</v>
      </c>
      <c r="K88">
        <v>12</v>
      </c>
      <c r="L88">
        <v>21</v>
      </c>
      <c r="M88">
        <v>63.3</v>
      </c>
      <c r="N88">
        <v>60</v>
      </c>
      <c r="O88">
        <v>65</v>
      </c>
      <c r="P88">
        <v>5363</v>
      </c>
      <c r="Q88">
        <v>2757</v>
      </c>
      <c r="R88">
        <v>6446</v>
      </c>
      <c r="S88">
        <v>843184</v>
      </c>
      <c r="T88">
        <v>546843</v>
      </c>
      <c r="U88">
        <v>991354</v>
      </c>
      <c r="V88">
        <v>5</v>
      </c>
      <c r="W88">
        <v>5</v>
      </c>
      <c r="X88">
        <v>15</v>
      </c>
      <c r="Y88">
        <v>17727899</v>
      </c>
      <c r="Z88">
        <v>8157139</v>
      </c>
      <c r="AA88">
        <v>17727899</v>
      </c>
      <c r="AB88">
        <v>75886560</v>
      </c>
      <c r="AC88">
        <v>16405290</v>
      </c>
      <c r="AD88">
        <v>59481240</v>
      </c>
    </row>
    <row r="89" spans="1:30" x14ac:dyDescent="0.3">
      <c r="A89" t="s">
        <v>162</v>
      </c>
      <c r="B89" t="s">
        <v>142</v>
      </c>
      <c r="C89" t="s">
        <v>231</v>
      </c>
      <c r="D89">
        <v>498</v>
      </c>
      <c r="E89">
        <v>309</v>
      </c>
      <c r="F89">
        <v>189</v>
      </c>
      <c r="G89">
        <v>362</v>
      </c>
      <c r="H89">
        <v>216</v>
      </c>
      <c r="I89">
        <v>146</v>
      </c>
      <c r="J89">
        <v>136</v>
      </c>
      <c r="K89">
        <v>93</v>
      </c>
      <c r="L89">
        <v>43</v>
      </c>
      <c r="M89">
        <v>72.7</v>
      </c>
      <c r="N89">
        <v>69.900000000000006</v>
      </c>
      <c r="O89">
        <v>77.2</v>
      </c>
      <c r="P89">
        <v>8281</v>
      </c>
      <c r="Q89">
        <v>4856</v>
      </c>
      <c r="R89">
        <v>16603</v>
      </c>
      <c r="S89">
        <v>187205</v>
      </c>
      <c r="T89">
        <v>145118</v>
      </c>
      <c r="U89">
        <v>256013</v>
      </c>
      <c r="V89">
        <v>3</v>
      </c>
      <c r="W89">
        <v>3</v>
      </c>
      <c r="X89">
        <v>84</v>
      </c>
      <c r="Y89">
        <v>11356339</v>
      </c>
      <c r="Z89">
        <v>11356339</v>
      </c>
      <c r="AA89">
        <v>5524926</v>
      </c>
      <c r="AB89">
        <v>93228090</v>
      </c>
      <c r="AC89">
        <v>44841462</v>
      </c>
      <c r="AD89">
        <v>48386457</v>
      </c>
    </row>
    <row r="90" spans="1:30" x14ac:dyDescent="0.3">
      <c r="A90" t="s">
        <v>126</v>
      </c>
      <c r="B90" t="s">
        <v>124</v>
      </c>
      <c r="C90" t="s">
        <v>230</v>
      </c>
      <c r="D90">
        <v>300</v>
      </c>
      <c r="E90">
        <v>230</v>
      </c>
      <c r="F90">
        <v>70</v>
      </c>
      <c r="G90">
        <v>177</v>
      </c>
      <c r="H90">
        <v>131</v>
      </c>
      <c r="I90">
        <v>46</v>
      </c>
      <c r="J90">
        <v>123</v>
      </c>
      <c r="K90">
        <v>99</v>
      </c>
      <c r="L90">
        <v>24</v>
      </c>
      <c r="M90">
        <v>59</v>
      </c>
      <c r="N90">
        <v>57</v>
      </c>
      <c r="O90">
        <v>65.7</v>
      </c>
      <c r="P90">
        <v>1846</v>
      </c>
      <c r="Q90">
        <v>1374</v>
      </c>
      <c r="R90">
        <v>4740</v>
      </c>
      <c r="S90">
        <v>112887</v>
      </c>
      <c r="T90">
        <v>106114</v>
      </c>
      <c r="U90">
        <v>135141</v>
      </c>
      <c r="V90">
        <v>3</v>
      </c>
      <c r="W90">
        <v>3</v>
      </c>
      <c r="X90">
        <v>3</v>
      </c>
      <c r="Y90">
        <v>3356402</v>
      </c>
      <c r="Z90">
        <v>3249045</v>
      </c>
      <c r="AA90">
        <v>3356402</v>
      </c>
      <c r="AB90">
        <v>33866100</v>
      </c>
      <c r="AC90">
        <v>24406220</v>
      </c>
      <c r="AD90">
        <v>9459870</v>
      </c>
    </row>
    <row r="91" spans="1:30" x14ac:dyDescent="0.3">
      <c r="A91" t="s">
        <v>208</v>
      </c>
      <c r="B91" t="s">
        <v>196</v>
      </c>
      <c r="C91" t="s">
        <v>231</v>
      </c>
      <c r="D91">
        <v>500</v>
      </c>
      <c r="E91">
        <v>75</v>
      </c>
      <c r="F91">
        <v>425</v>
      </c>
      <c r="G91">
        <v>205</v>
      </c>
      <c r="H91">
        <v>33</v>
      </c>
      <c r="I91">
        <v>172</v>
      </c>
      <c r="J91">
        <v>295</v>
      </c>
      <c r="K91">
        <v>42</v>
      </c>
      <c r="L91">
        <v>253</v>
      </c>
      <c r="M91">
        <v>41</v>
      </c>
      <c r="N91">
        <v>44</v>
      </c>
      <c r="O91">
        <v>40.5</v>
      </c>
      <c r="P91">
        <v>467</v>
      </c>
      <c r="Q91">
        <v>559</v>
      </c>
      <c r="R91">
        <v>438</v>
      </c>
      <c r="S91">
        <v>226940</v>
      </c>
      <c r="T91">
        <v>15179</v>
      </c>
      <c r="U91">
        <v>264310</v>
      </c>
      <c r="V91">
        <v>1</v>
      </c>
      <c r="W91">
        <v>1</v>
      </c>
      <c r="X91">
        <v>3</v>
      </c>
      <c r="Y91">
        <v>30374234</v>
      </c>
      <c r="Z91">
        <v>684361</v>
      </c>
      <c r="AA91">
        <v>30374234</v>
      </c>
      <c r="AB91">
        <v>113470000</v>
      </c>
      <c r="AC91">
        <v>1138425</v>
      </c>
      <c r="AD91">
        <v>112331750</v>
      </c>
    </row>
    <row r="92" spans="1:30" x14ac:dyDescent="0.3">
      <c r="A92" t="s">
        <v>205</v>
      </c>
      <c r="B92" t="s">
        <v>196</v>
      </c>
      <c r="C92" t="s">
        <v>229</v>
      </c>
      <c r="D92">
        <v>365</v>
      </c>
      <c r="E92">
        <v>178</v>
      </c>
      <c r="F92">
        <v>187</v>
      </c>
      <c r="G92">
        <v>314</v>
      </c>
      <c r="H92">
        <v>139</v>
      </c>
      <c r="I92">
        <v>175</v>
      </c>
      <c r="J92">
        <v>51</v>
      </c>
      <c r="K92">
        <v>39</v>
      </c>
      <c r="L92">
        <v>12</v>
      </c>
      <c r="M92">
        <v>86</v>
      </c>
      <c r="N92">
        <v>78.099999999999994</v>
      </c>
      <c r="O92">
        <v>93.6</v>
      </c>
      <c r="P92">
        <v>96296</v>
      </c>
      <c r="Q92">
        <v>18738</v>
      </c>
      <c r="R92">
        <v>185907</v>
      </c>
      <c r="S92">
        <v>1485336</v>
      </c>
      <c r="T92">
        <v>318277</v>
      </c>
      <c r="U92">
        <v>2596226</v>
      </c>
      <c r="V92">
        <v>9</v>
      </c>
      <c r="W92">
        <v>9</v>
      </c>
      <c r="X92">
        <v>48</v>
      </c>
      <c r="Y92">
        <v>121815159</v>
      </c>
      <c r="Z92">
        <v>12896817</v>
      </c>
      <c r="AA92">
        <v>121815159</v>
      </c>
      <c r="AB92">
        <v>542147640</v>
      </c>
      <c r="AC92">
        <v>56653306</v>
      </c>
      <c r="AD92">
        <v>485494262</v>
      </c>
    </row>
    <row r="93" spans="1:30" x14ac:dyDescent="0.3">
      <c r="A93" t="s">
        <v>205</v>
      </c>
      <c r="B93" t="s">
        <v>196</v>
      </c>
      <c r="C93" t="s">
        <v>231</v>
      </c>
      <c r="D93">
        <v>500</v>
      </c>
      <c r="E93">
        <v>202</v>
      </c>
      <c r="F93">
        <v>298</v>
      </c>
      <c r="G93">
        <v>420</v>
      </c>
      <c r="H93">
        <v>138</v>
      </c>
      <c r="I93">
        <v>282</v>
      </c>
      <c r="J93">
        <v>80</v>
      </c>
      <c r="K93">
        <v>64</v>
      </c>
      <c r="L93">
        <v>16</v>
      </c>
      <c r="M93">
        <v>84</v>
      </c>
      <c r="N93">
        <v>68.3</v>
      </c>
      <c r="O93">
        <v>94.6</v>
      </c>
      <c r="P93">
        <v>97297</v>
      </c>
      <c r="Q93">
        <v>8410</v>
      </c>
      <c r="R93">
        <v>148520</v>
      </c>
      <c r="S93">
        <v>601328</v>
      </c>
      <c r="T93">
        <v>781498</v>
      </c>
      <c r="U93">
        <v>479199</v>
      </c>
      <c r="V93">
        <v>2</v>
      </c>
      <c r="W93">
        <v>2</v>
      </c>
      <c r="X93">
        <v>7</v>
      </c>
      <c r="Y93">
        <v>53517709</v>
      </c>
      <c r="Z93">
        <v>53517709</v>
      </c>
      <c r="AA93">
        <v>9448505</v>
      </c>
      <c r="AB93">
        <v>300664000</v>
      </c>
      <c r="AC93">
        <v>157862596</v>
      </c>
      <c r="AD93">
        <v>142801302</v>
      </c>
    </row>
    <row r="94" spans="1:30" x14ac:dyDescent="0.3">
      <c r="A94" t="s">
        <v>187</v>
      </c>
      <c r="B94" t="s">
        <v>176</v>
      </c>
      <c r="C94" t="s">
        <v>229</v>
      </c>
      <c r="D94">
        <v>461</v>
      </c>
      <c r="E94">
        <v>296</v>
      </c>
      <c r="F94">
        <v>165</v>
      </c>
      <c r="G94">
        <v>167</v>
      </c>
      <c r="H94">
        <v>111</v>
      </c>
      <c r="I94">
        <v>56</v>
      </c>
      <c r="J94">
        <v>294</v>
      </c>
      <c r="K94">
        <v>185</v>
      </c>
      <c r="L94">
        <v>109</v>
      </c>
      <c r="M94">
        <v>36.200000000000003</v>
      </c>
      <c r="N94">
        <v>37.5</v>
      </c>
      <c r="O94">
        <v>33.9</v>
      </c>
      <c r="P94">
        <v>382</v>
      </c>
      <c r="Q94">
        <v>437</v>
      </c>
      <c r="R94">
        <v>362</v>
      </c>
      <c r="S94">
        <v>58788</v>
      </c>
      <c r="T94">
        <v>35810</v>
      </c>
      <c r="U94">
        <v>100009</v>
      </c>
      <c r="V94">
        <v>6</v>
      </c>
      <c r="W94">
        <v>6</v>
      </c>
      <c r="X94">
        <v>20</v>
      </c>
      <c r="Y94">
        <v>4661881</v>
      </c>
      <c r="Z94">
        <v>1447487</v>
      </c>
      <c r="AA94">
        <v>4661881</v>
      </c>
      <c r="AB94">
        <v>27101268</v>
      </c>
      <c r="AC94">
        <v>10599760</v>
      </c>
      <c r="AD94">
        <v>16501485</v>
      </c>
    </row>
    <row r="95" spans="1:30" x14ac:dyDescent="0.3">
      <c r="A95" t="s">
        <v>161</v>
      </c>
      <c r="B95" t="s">
        <v>142</v>
      </c>
      <c r="C95" t="s">
        <v>231</v>
      </c>
      <c r="D95">
        <v>496</v>
      </c>
      <c r="E95">
        <v>340</v>
      </c>
      <c r="F95">
        <v>156</v>
      </c>
      <c r="G95">
        <v>310</v>
      </c>
      <c r="H95">
        <v>200</v>
      </c>
      <c r="I95">
        <v>110</v>
      </c>
      <c r="J95">
        <v>186</v>
      </c>
      <c r="K95">
        <v>140</v>
      </c>
      <c r="L95">
        <v>46</v>
      </c>
      <c r="M95">
        <v>62.5</v>
      </c>
      <c r="N95">
        <v>58.8</v>
      </c>
      <c r="O95">
        <v>70.5</v>
      </c>
      <c r="P95">
        <v>2078</v>
      </c>
      <c r="Q95">
        <v>1425</v>
      </c>
      <c r="R95">
        <v>5531</v>
      </c>
      <c r="S95">
        <v>165372</v>
      </c>
      <c r="T95">
        <v>94607</v>
      </c>
      <c r="U95">
        <v>319602</v>
      </c>
      <c r="V95">
        <v>9</v>
      </c>
      <c r="W95">
        <v>9</v>
      </c>
      <c r="X95">
        <v>19</v>
      </c>
      <c r="Y95">
        <v>12876216</v>
      </c>
      <c r="Z95">
        <v>4010876</v>
      </c>
      <c r="AA95">
        <v>12876216</v>
      </c>
      <c r="AB95">
        <v>82024512</v>
      </c>
      <c r="AC95">
        <v>32166380</v>
      </c>
      <c r="AD95">
        <v>49857912</v>
      </c>
    </row>
    <row r="96" spans="1:30" x14ac:dyDescent="0.3">
      <c r="A96" t="s">
        <v>216</v>
      </c>
      <c r="B96" t="s">
        <v>196</v>
      </c>
      <c r="C96" t="s">
        <v>231</v>
      </c>
      <c r="D96">
        <v>494</v>
      </c>
      <c r="E96">
        <v>231</v>
      </c>
      <c r="F96">
        <v>263</v>
      </c>
      <c r="G96">
        <v>460</v>
      </c>
      <c r="H96">
        <v>206</v>
      </c>
      <c r="I96">
        <v>254</v>
      </c>
      <c r="J96">
        <v>34</v>
      </c>
      <c r="K96">
        <v>25</v>
      </c>
      <c r="L96">
        <v>9</v>
      </c>
      <c r="M96">
        <v>93.1</v>
      </c>
      <c r="N96">
        <v>89.2</v>
      </c>
      <c r="O96">
        <v>96.6</v>
      </c>
      <c r="P96">
        <v>154929</v>
      </c>
      <c r="Q96">
        <v>108410</v>
      </c>
      <c r="R96">
        <v>181033</v>
      </c>
      <c r="S96">
        <v>879423</v>
      </c>
      <c r="T96">
        <v>995002</v>
      </c>
      <c r="U96">
        <v>777907</v>
      </c>
      <c r="V96">
        <v>2</v>
      </c>
      <c r="W96">
        <v>2</v>
      </c>
      <c r="X96">
        <v>12</v>
      </c>
      <c r="Y96">
        <v>30904224</v>
      </c>
      <c r="Z96">
        <v>30904224</v>
      </c>
      <c r="AA96">
        <v>8236968</v>
      </c>
      <c r="AB96">
        <v>434434962</v>
      </c>
      <c r="AC96">
        <v>229845462</v>
      </c>
      <c r="AD96">
        <v>204589541</v>
      </c>
    </row>
    <row r="97" spans="1:30" x14ac:dyDescent="0.3">
      <c r="A97" t="s">
        <v>160</v>
      </c>
      <c r="B97" t="s">
        <v>142</v>
      </c>
      <c r="C97" t="s">
        <v>229</v>
      </c>
      <c r="D97">
        <v>460</v>
      </c>
      <c r="E97">
        <v>348</v>
      </c>
      <c r="F97">
        <v>112</v>
      </c>
      <c r="G97">
        <v>208</v>
      </c>
      <c r="H97">
        <v>118</v>
      </c>
      <c r="I97">
        <v>90</v>
      </c>
      <c r="J97">
        <v>252</v>
      </c>
      <c r="K97">
        <v>230</v>
      </c>
      <c r="L97">
        <v>22</v>
      </c>
      <c r="M97">
        <v>45.2</v>
      </c>
      <c r="N97">
        <v>33.9</v>
      </c>
      <c r="O97">
        <v>80.400000000000006</v>
      </c>
      <c r="P97">
        <v>630</v>
      </c>
      <c r="Q97">
        <v>298</v>
      </c>
      <c r="R97">
        <v>40877</v>
      </c>
      <c r="S97">
        <v>171509</v>
      </c>
      <c r="T97">
        <v>75035</v>
      </c>
      <c r="U97">
        <v>471267</v>
      </c>
      <c r="V97">
        <v>2</v>
      </c>
      <c r="W97">
        <v>3</v>
      </c>
      <c r="X97">
        <v>2</v>
      </c>
      <c r="Y97">
        <v>14234111</v>
      </c>
      <c r="Z97">
        <v>14234111</v>
      </c>
      <c r="AA97">
        <v>12262837</v>
      </c>
      <c r="AB97">
        <v>78894140</v>
      </c>
      <c r="AC97">
        <v>26112180</v>
      </c>
      <c r="AD97">
        <v>52781904</v>
      </c>
    </row>
    <row r="98" spans="1:30" x14ac:dyDescent="0.3">
      <c r="A98" t="s">
        <v>159</v>
      </c>
      <c r="B98" t="s">
        <v>142</v>
      </c>
      <c r="C98" t="s">
        <v>230</v>
      </c>
      <c r="D98">
        <v>434</v>
      </c>
      <c r="E98">
        <v>320</v>
      </c>
      <c r="F98">
        <v>114</v>
      </c>
      <c r="G98">
        <v>250</v>
      </c>
      <c r="H98">
        <v>179</v>
      </c>
      <c r="I98">
        <v>71</v>
      </c>
      <c r="J98">
        <v>184</v>
      </c>
      <c r="K98">
        <v>141</v>
      </c>
      <c r="L98">
        <v>43</v>
      </c>
      <c r="M98">
        <v>57.6</v>
      </c>
      <c r="N98">
        <v>55.9</v>
      </c>
      <c r="O98">
        <v>62.3</v>
      </c>
      <c r="P98">
        <v>3541</v>
      </c>
      <c r="Q98">
        <v>2892</v>
      </c>
      <c r="R98">
        <v>15327</v>
      </c>
      <c r="S98">
        <v>476534</v>
      </c>
      <c r="T98">
        <v>477529</v>
      </c>
      <c r="U98">
        <v>473741</v>
      </c>
      <c r="V98">
        <v>2</v>
      </c>
      <c r="W98">
        <v>2</v>
      </c>
      <c r="X98">
        <v>4</v>
      </c>
      <c r="Y98">
        <v>20359694</v>
      </c>
      <c r="Z98">
        <v>20359694</v>
      </c>
      <c r="AA98">
        <v>11923711</v>
      </c>
      <c r="AB98">
        <v>206815756</v>
      </c>
      <c r="AC98">
        <v>152809280</v>
      </c>
      <c r="AD98">
        <v>54006474</v>
      </c>
    </row>
    <row r="99" spans="1:30" x14ac:dyDescent="0.3">
      <c r="A99" t="s">
        <v>129</v>
      </c>
      <c r="B99" t="s">
        <v>124</v>
      </c>
      <c r="C99" t="s">
        <v>231</v>
      </c>
      <c r="D99">
        <v>214</v>
      </c>
      <c r="E99">
        <v>80</v>
      </c>
      <c r="F99">
        <v>134</v>
      </c>
      <c r="G99">
        <v>164</v>
      </c>
      <c r="H99">
        <v>58</v>
      </c>
      <c r="I99">
        <v>106</v>
      </c>
      <c r="J99">
        <v>50</v>
      </c>
      <c r="K99">
        <v>22</v>
      </c>
      <c r="L99">
        <v>28</v>
      </c>
      <c r="M99">
        <v>76.599999999999994</v>
      </c>
      <c r="N99">
        <v>72.5</v>
      </c>
      <c r="O99">
        <v>79.099999999999994</v>
      </c>
      <c r="P99">
        <v>13083</v>
      </c>
      <c r="Q99">
        <v>8840</v>
      </c>
      <c r="R99">
        <v>14881</v>
      </c>
      <c r="S99">
        <v>237305</v>
      </c>
      <c r="T99">
        <v>99001</v>
      </c>
      <c r="U99">
        <v>319874</v>
      </c>
      <c r="V99">
        <v>1</v>
      </c>
      <c r="W99">
        <v>16</v>
      </c>
      <c r="X99">
        <v>1</v>
      </c>
      <c r="Y99">
        <v>14070463</v>
      </c>
      <c r="Z99">
        <v>1096481</v>
      </c>
      <c r="AA99">
        <v>14070463</v>
      </c>
      <c r="AB99">
        <v>50783270</v>
      </c>
      <c r="AC99">
        <v>7920080</v>
      </c>
      <c r="AD99">
        <v>42863116</v>
      </c>
    </row>
    <row r="100" spans="1:30" x14ac:dyDescent="0.3">
      <c r="A100" t="s">
        <v>158</v>
      </c>
      <c r="B100" t="s">
        <v>142</v>
      </c>
      <c r="C100" t="s">
        <v>230</v>
      </c>
      <c r="D100">
        <v>500</v>
      </c>
      <c r="E100">
        <v>330</v>
      </c>
      <c r="F100">
        <v>170</v>
      </c>
      <c r="G100">
        <v>467</v>
      </c>
      <c r="H100">
        <v>299</v>
      </c>
      <c r="I100">
        <v>168</v>
      </c>
      <c r="J100">
        <v>33</v>
      </c>
      <c r="K100">
        <v>31</v>
      </c>
      <c r="L100">
        <v>2</v>
      </c>
      <c r="M100">
        <v>93.4</v>
      </c>
      <c r="N100">
        <v>90.6</v>
      </c>
      <c r="O100">
        <v>98.8</v>
      </c>
      <c r="P100">
        <v>40965</v>
      </c>
      <c r="Q100">
        <v>29045</v>
      </c>
      <c r="R100">
        <v>76700</v>
      </c>
      <c r="S100">
        <v>423388</v>
      </c>
      <c r="T100">
        <v>382161</v>
      </c>
      <c r="U100">
        <v>503416</v>
      </c>
      <c r="V100">
        <v>59</v>
      </c>
      <c r="W100">
        <v>59</v>
      </c>
      <c r="X100">
        <v>208</v>
      </c>
      <c r="Y100">
        <v>34078833</v>
      </c>
      <c r="Z100">
        <v>34078833</v>
      </c>
      <c r="AA100">
        <v>32607203</v>
      </c>
      <c r="AB100">
        <v>211694000</v>
      </c>
      <c r="AC100">
        <v>126113130</v>
      </c>
      <c r="AD100">
        <v>85580720</v>
      </c>
    </row>
    <row r="101" spans="1:30" x14ac:dyDescent="0.3">
      <c r="A101" t="s">
        <v>215</v>
      </c>
      <c r="B101" t="s">
        <v>196</v>
      </c>
      <c r="C101" t="s">
        <v>230</v>
      </c>
      <c r="D101">
        <v>415</v>
      </c>
      <c r="E101">
        <v>307</v>
      </c>
      <c r="F101">
        <v>108</v>
      </c>
      <c r="G101">
        <v>406</v>
      </c>
      <c r="H101">
        <v>298</v>
      </c>
      <c r="I101">
        <v>108</v>
      </c>
      <c r="J101">
        <v>9</v>
      </c>
      <c r="K101">
        <v>9</v>
      </c>
      <c r="L101">
        <v>0</v>
      </c>
      <c r="M101">
        <v>97.8</v>
      </c>
      <c r="N101">
        <v>97.1</v>
      </c>
      <c r="O101">
        <v>100</v>
      </c>
      <c r="P101">
        <v>129601</v>
      </c>
      <c r="Q101">
        <v>94125</v>
      </c>
      <c r="R101">
        <v>289891</v>
      </c>
      <c r="S101">
        <v>1527230</v>
      </c>
      <c r="T101">
        <v>1210295</v>
      </c>
      <c r="U101">
        <v>2428146</v>
      </c>
      <c r="V101">
        <v>19</v>
      </c>
      <c r="W101">
        <v>19</v>
      </c>
      <c r="X101">
        <v>2035</v>
      </c>
      <c r="Y101">
        <v>47898104</v>
      </c>
      <c r="Z101">
        <v>33724022</v>
      </c>
      <c r="AA101">
        <v>47898104</v>
      </c>
      <c r="AB101">
        <v>633800450</v>
      </c>
      <c r="AC101">
        <v>371560565</v>
      </c>
      <c r="AD101">
        <v>262239768</v>
      </c>
    </row>
    <row r="102" spans="1:30" x14ac:dyDescent="0.3">
      <c r="A102" t="s">
        <v>130</v>
      </c>
      <c r="B102" t="s">
        <v>124</v>
      </c>
      <c r="C102" t="s">
        <v>231</v>
      </c>
      <c r="D102">
        <v>440</v>
      </c>
      <c r="E102">
        <v>315</v>
      </c>
      <c r="F102">
        <v>125</v>
      </c>
      <c r="G102">
        <v>433</v>
      </c>
      <c r="H102">
        <v>310</v>
      </c>
      <c r="I102">
        <v>123</v>
      </c>
      <c r="J102">
        <v>7</v>
      </c>
      <c r="K102">
        <v>5</v>
      </c>
      <c r="L102">
        <v>2</v>
      </c>
      <c r="M102">
        <v>98.4</v>
      </c>
      <c r="N102">
        <v>98.4</v>
      </c>
      <c r="O102">
        <v>98.4</v>
      </c>
      <c r="P102">
        <v>209123</v>
      </c>
      <c r="Q102">
        <v>144937</v>
      </c>
      <c r="R102">
        <v>435496</v>
      </c>
      <c r="S102">
        <v>1733305</v>
      </c>
      <c r="T102">
        <v>1753356</v>
      </c>
      <c r="U102">
        <v>1682776</v>
      </c>
      <c r="V102">
        <v>0</v>
      </c>
      <c r="W102">
        <v>0</v>
      </c>
      <c r="X102">
        <v>210</v>
      </c>
      <c r="Y102">
        <v>145224335</v>
      </c>
      <c r="Z102">
        <v>145224335</v>
      </c>
      <c r="AA102">
        <v>24546532</v>
      </c>
      <c r="AB102">
        <v>762654200</v>
      </c>
      <c r="AC102">
        <v>552307140</v>
      </c>
      <c r="AD102">
        <v>210347000</v>
      </c>
    </row>
    <row r="103" spans="1:30" x14ac:dyDescent="0.3">
      <c r="A103" t="s">
        <v>137</v>
      </c>
      <c r="B103" t="s">
        <v>124</v>
      </c>
      <c r="C103" t="s">
        <v>230</v>
      </c>
      <c r="D103">
        <v>411</v>
      </c>
      <c r="E103">
        <v>223</v>
      </c>
      <c r="F103">
        <v>188</v>
      </c>
      <c r="G103">
        <v>257</v>
      </c>
      <c r="H103">
        <v>158</v>
      </c>
      <c r="I103">
        <v>99</v>
      </c>
      <c r="J103">
        <v>154</v>
      </c>
      <c r="K103">
        <v>65</v>
      </c>
      <c r="L103">
        <v>89</v>
      </c>
      <c r="M103">
        <v>62.5</v>
      </c>
      <c r="N103">
        <v>70.900000000000006</v>
      </c>
      <c r="O103">
        <v>52.7</v>
      </c>
      <c r="P103">
        <v>4708</v>
      </c>
      <c r="Q103">
        <v>6379</v>
      </c>
      <c r="R103">
        <v>1441</v>
      </c>
      <c r="S103">
        <v>128553</v>
      </c>
      <c r="T103">
        <v>138513</v>
      </c>
      <c r="U103">
        <v>116738</v>
      </c>
      <c r="V103">
        <v>0</v>
      </c>
      <c r="W103">
        <v>0</v>
      </c>
      <c r="X103">
        <v>8</v>
      </c>
      <c r="Y103">
        <v>5426242</v>
      </c>
      <c r="Z103">
        <v>3868026</v>
      </c>
      <c r="AA103">
        <v>5426242</v>
      </c>
      <c r="AB103">
        <v>52835283</v>
      </c>
      <c r="AC103">
        <v>30888399</v>
      </c>
      <c r="AD103">
        <v>21946744</v>
      </c>
    </row>
    <row r="104" spans="1:30" x14ac:dyDescent="0.3">
      <c r="A104" t="s">
        <v>186</v>
      </c>
      <c r="B104" t="s">
        <v>176</v>
      </c>
      <c r="C104" t="s">
        <v>231</v>
      </c>
      <c r="D104">
        <v>500</v>
      </c>
      <c r="E104">
        <v>267</v>
      </c>
      <c r="F104">
        <v>233</v>
      </c>
      <c r="G104">
        <v>228</v>
      </c>
      <c r="H104">
        <v>110</v>
      </c>
      <c r="I104">
        <v>118</v>
      </c>
      <c r="J104">
        <v>272</v>
      </c>
      <c r="K104">
        <v>157</v>
      </c>
      <c r="L104">
        <v>115</v>
      </c>
      <c r="M104">
        <v>45.6</v>
      </c>
      <c r="N104">
        <v>41.2</v>
      </c>
      <c r="O104">
        <v>50.6</v>
      </c>
      <c r="P104">
        <v>745</v>
      </c>
      <c r="Q104">
        <v>637</v>
      </c>
      <c r="R104">
        <v>1002</v>
      </c>
      <c r="S104">
        <v>93142</v>
      </c>
      <c r="T104">
        <v>56701</v>
      </c>
      <c r="U104">
        <v>134901</v>
      </c>
      <c r="V104">
        <v>11</v>
      </c>
      <c r="W104">
        <v>11</v>
      </c>
      <c r="X104">
        <v>19</v>
      </c>
      <c r="Y104">
        <v>12144376</v>
      </c>
      <c r="Z104">
        <v>5112384</v>
      </c>
      <c r="AA104">
        <v>12144376</v>
      </c>
      <c r="AB104">
        <v>46571000</v>
      </c>
      <c r="AC104">
        <v>15139167</v>
      </c>
      <c r="AD104">
        <v>31431933</v>
      </c>
    </row>
    <row r="105" spans="1:30" x14ac:dyDescent="0.3">
      <c r="A105" t="s">
        <v>212</v>
      </c>
      <c r="B105" t="s">
        <v>196</v>
      </c>
      <c r="C105" t="s">
        <v>229</v>
      </c>
      <c r="D105">
        <v>200</v>
      </c>
      <c r="E105">
        <v>82</v>
      </c>
      <c r="F105">
        <v>118</v>
      </c>
      <c r="G105">
        <v>181</v>
      </c>
      <c r="H105">
        <v>66</v>
      </c>
      <c r="I105">
        <v>115</v>
      </c>
      <c r="J105">
        <v>19</v>
      </c>
      <c r="K105">
        <v>16</v>
      </c>
      <c r="L105">
        <v>3</v>
      </c>
      <c r="M105">
        <v>90.5</v>
      </c>
      <c r="N105">
        <v>80.5</v>
      </c>
      <c r="O105">
        <v>97.5</v>
      </c>
      <c r="P105">
        <v>29896</v>
      </c>
      <c r="Q105">
        <v>6680</v>
      </c>
      <c r="R105">
        <v>57368</v>
      </c>
      <c r="S105">
        <v>743311</v>
      </c>
      <c r="T105">
        <v>387735</v>
      </c>
      <c r="U105">
        <v>990406</v>
      </c>
      <c r="V105">
        <v>2</v>
      </c>
      <c r="W105">
        <v>2</v>
      </c>
      <c r="X105">
        <v>7</v>
      </c>
      <c r="Y105">
        <v>22472293</v>
      </c>
      <c r="Z105">
        <v>22472293</v>
      </c>
      <c r="AA105">
        <v>22453536</v>
      </c>
      <c r="AB105">
        <v>148662200</v>
      </c>
      <c r="AC105">
        <v>31794270</v>
      </c>
      <c r="AD105">
        <v>116867908</v>
      </c>
    </row>
    <row r="106" spans="1:30" x14ac:dyDescent="0.3">
      <c r="A106" t="s">
        <v>157</v>
      </c>
      <c r="B106" t="s">
        <v>142</v>
      </c>
      <c r="C106" t="s">
        <v>229</v>
      </c>
      <c r="D106">
        <v>350</v>
      </c>
      <c r="E106">
        <v>251</v>
      </c>
      <c r="F106">
        <v>99</v>
      </c>
      <c r="G106">
        <v>149</v>
      </c>
      <c r="H106">
        <v>99</v>
      </c>
      <c r="I106">
        <v>50</v>
      </c>
      <c r="J106">
        <v>201</v>
      </c>
      <c r="K106">
        <v>152</v>
      </c>
      <c r="L106">
        <v>49</v>
      </c>
      <c r="M106">
        <v>42.6</v>
      </c>
      <c r="N106">
        <v>39.4</v>
      </c>
      <c r="O106">
        <v>50.5</v>
      </c>
      <c r="P106">
        <v>691</v>
      </c>
      <c r="Q106">
        <v>590</v>
      </c>
      <c r="R106">
        <v>1011</v>
      </c>
      <c r="S106">
        <v>9889</v>
      </c>
      <c r="T106">
        <v>4351</v>
      </c>
      <c r="U106">
        <v>23931</v>
      </c>
      <c r="V106">
        <v>1</v>
      </c>
      <c r="W106">
        <v>1</v>
      </c>
      <c r="X106">
        <v>29</v>
      </c>
      <c r="Y106">
        <v>652899</v>
      </c>
      <c r="Z106">
        <v>318033</v>
      </c>
      <c r="AA106">
        <v>652899</v>
      </c>
      <c r="AB106">
        <v>3461150</v>
      </c>
      <c r="AC106">
        <v>1092101</v>
      </c>
      <c r="AD106">
        <v>2369169</v>
      </c>
    </row>
    <row r="107" spans="1:30" x14ac:dyDescent="0.3">
      <c r="A107" t="s">
        <v>286</v>
      </c>
      <c r="B107" t="s">
        <v>142</v>
      </c>
      <c r="C107" t="s">
        <v>231</v>
      </c>
      <c r="D107">
        <v>460</v>
      </c>
      <c r="E107">
        <v>293</v>
      </c>
      <c r="F107">
        <v>167</v>
      </c>
      <c r="G107">
        <v>63.7</v>
      </c>
      <c r="H107">
        <v>47642088</v>
      </c>
      <c r="I107">
        <v>1938</v>
      </c>
      <c r="J107">
        <v>103569</v>
      </c>
      <c r="K107">
        <v>1</v>
      </c>
      <c r="L107">
        <v>5913433</v>
      </c>
      <c r="M107">
        <v>426</v>
      </c>
      <c r="N107">
        <v>264</v>
      </c>
      <c r="O107">
        <v>162</v>
      </c>
      <c r="P107">
        <v>62</v>
      </c>
      <c r="Q107">
        <v>33500442</v>
      </c>
      <c r="R107">
        <v>1643</v>
      </c>
      <c r="S107">
        <v>78639</v>
      </c>
      <c r="T107">
        <v>14</v>
      </c>
      <c r="U107">
        <v>3731372</v>
      </c>
      <c r="V107">
        <v>34</v>
      </c>
      <c r="W107">
        <v>29</v>
      </c>
      <c r="X107">
        <v>5</v>
      </c>
      <c r="Y107">
        <v>85.3</v>
      </c>
      <c r="Z107">
        <v>14141646</v>
      </c>
      <c r="AA107">
        <v>32014</v>
      </c>
      <c r="AB107">
        <v>415930</v>
      </c>
      <c r="AC107">
        <v>1</v>
      </c>
      <c r="AD107">
        <v>5913433</v>
      </c>
    </row>
    <row r="108" spans="1:30" x14ac:dyDescent="0.3">
      <c r="A108" t="s">
        <v>286</v>
      </c>
      <c r="B108" t="s">
        <v>142</v>
      </c>
      <c r="C108" t="s">
        <v>230</v>
      </c>
      <c r="D108">
        <v>95</v>
      </c>
      <c r="E108">
        <v>28</v>
      </c>
      <c r="F108">
        <v>67</v>
      </c>
      <c r="G108">
        <v>29.5</v>
      </c>
      <c r="H108">
        <v>5269024</v>
      </c>
      <c r="I108">
        <v>247</v>
      </c>
      <c r="J108">
        <v>55463</v>
      </c>
      <c r="K108">
        <v>0</v>
      </c>
      <c r="L108">
        <v>1367086</v>
      </c>
      <c r="M108">
        <v>50</v>
      </c>
      <c r="N108">
        <v>19</v>
      </c>
      <c r="O108">
        <v>31</v>
      </c>
      <c r="P108">
        <v>38</v>
      </c>
      <c r="Q108">
        <v>1787054</v>
      </c>
      <c r="R108">
        <v>463</v>
      </c>
      <c r="S108">
        <v>35741</v>
      </c>
      <c r="T108">
        <v>0</v>
      </c>
      <c r="U108">
        <v>931953</v>
      </c>
      <c r="V108">
        <v>45</v>
      </c>
      <c r="W108">
        <v>9</v>
      </c>
      <c r="X108">
        <v>36</v>
      </c>
      <c r="Y108">
        <v>20</v>
      </c>
      <c r="Z108">
        <v>3481970</v>
      </c>
      <c r="AA108">
        <v>144</v>
      </c>
      <c r="AB108">
        <v>77377</v>
      </c>
      <c r="AC108">
        <v>7</v>
      </c>
      <c r="AD108">
        <v>1367086</v>
      </c>
    </row>
    <row r="109" spans="1:30" x14ac:dyDescent="0.3">
      <c r="A109" t="s">
        <v>285</v>
      </c>
      <c r="B109" t="s">
        <v>142</v>
      </c>
      <c r="C109" t="s">
        <v>230</v>
      </c>
      <c r="D109">
        <v>488</v>
      </c>
      <c r="E109">
        <v>313</v>
      </c>
      <c r="F109">
        <v>175</v>
      </c>
      <c r="G109">
        <v>64.099999999999994</v>
      </c>
      <c r="H109">
        <v>23232468</v>
      </c>
      <c r="I109">
        <v>3252</v>
      </c>
      <c r="J109">
        <v>47607</v>
      </c>
      <c r="K109">
        <v>0</v>
      </c>
      <c r="L109">
        <v>2565611</v>
      </c>
      <c r="M109">
        <v>395</v>
      </c>
      <c r="N109">
        <v>253</v>
      </c>
      <c r="O109">
        <v>142</v>
      </c>
      <c r="P109">
        <v>64.099999999999994</v>
      </c>
      <c r="Q109">
        <v>11893975</v>
      </c>
      <c r="R109">
        <v>2945</v>
      </c>
      <c r="S109">
        <v>30111</v>
      </c>
      <c r="T109">
        <v>0</v>
      </c>
      <c r="U109">
        <v>1320715</v>
      </c>
      <c r="V109">
        <v>93</v>
      </c>
      <c r="W109">
        <v>60</v>
      </c>
      <c r="X109">
        <v>33</v>
      </c>
      <c r="Y109">
        <v>64.5</v>
      </c>
      <c r="Z109">
        <v>11338493</v>
      </c>
      <c r="AA109">
        <v>7013</v>
      </c>
      <c r="AB109">
        <v>121919</v>
      </c>
      <c r="AC109">
        <v>3</v>
      </c>
      <c r="AD109">
        <v>2565611</v>
      </c>
    </row>
    <row r="110" spans="1:30" x14ac:dyDescent="0.3">
      <c r="A110" t="s">
        <v>284</v>
      </c>
      <c r="B110" t="s">
        <v>142</v>
      </c>
      <c r="C110" t="s">
        <v>230</v>
      </c>
      <c r="D110">
        <v>451</v>
      </c>
      <c r="E110">
        <v>318</v>
      </c>
      <c r="F110">
        <v>133</v>
      </c>
      <c r="G110">
        <v>70.5</v>
      </c>
      <c r="H110">
        <v>209899571</v>
      </c>
      <c r="I110">
        <v>3838</v>
      </c>
      <c r="J110">
        <v>465409</v>
      </c>
      <c r="K110">
        <v>2</v>
      </c>
      <c r="L110">
        <v>46788569</v>
      </c>
      <c r="M110">
        <v>368</v>
      </c>
      <c r="N110">
        <v>248</v>
      </c>
      <c r="O110">
        <v>120</v>
      </c>
      <c r="P110">
        <v>67.400000000000006</v>
      </c>
      <c r="Q110">
        <v>114914693</v>
      </c>
      <c r="R110">
        <v>2844</v>
      </c>
      <c r="S110">
        <v>312268</v>
      </c>
      <c r="T110">
        <v>2</v>
      </c>
      <c r="U110">
        <v>46788569</v>
      </c>
      <c r="V110">
        <v>83</v>
      </c>
      <c r="W110">
        <v>70</v>
      </c>
      <c r="X110">
        <v>13</v>
      </c>
      <c r="Y110">
        <v>84.3</v>
      </c>
      <c r="Z110">
        <v>94984878</v>
      </c>
      <c r="AA110">
        <v>26327</v>
      </c>
      <c r="AB110">
        <v>1144396</v>
      </c>
      <c r="AC110">
        <v>31</v>
      </c>
      <c r="AD110">
        <v>15865466</v>
      </c>
    </row>
    <row r="111" spans="1:30" x14ac:dyDescent="0.3">
      <c r="A111" t="s">
        <v>283</v>
      </c>
      <c r="B111" t="s">
        <v>142</v>
      </c>
      <c r="C111" t="s">
        <v>230</v>
      </c>
      <c r="D111">
        <v>447</v>
      </c>
      <c r="E111">
        <v>380</v>
      </c>
      <c r="F111">
        <v>67</v>
      </c>
      <c r="G111">
        <v>85</v>
      </c>
      <c r="H111">
        <v>78619104</v>
      </c>
      <c r="I111">
        <v>6334</v>
      </c>
      <c r="J111">
        <v>175881</v>
      </c>
      <c r="K111">
        <v>0</v>
      </c>
      <c r="L111">
        <v>13087123</v>
      </c>
      <c r="M111">
        <v>321</v>
      </c>
      <c r="N111">
        <v>264</v>
      </c>
      <c r="O111">
        <v>57</v>
      </c>
      <c r="P111">
        <v>82.2</v>
      </c>
      <c r="Q111">
        <v>31882430</v>
      </c>
      <c r="R111">
        <v>3703</v>
      </c>
      <c r="S111">
        <v>99322</v>
      </c>
      <c r="T111">
        <v>0</v>
      </c>
      <c r="U111">
        <v>6018921</v>
      </c>
      <c r="V111">
        <v>126</v>
      </c>
      <c r="W111">
        <v>116</v>
      </c>
      <c r="X111">
        <v>10</v>
      </c>
      <c r="Y111">
        <v>92.1</v>
      </c>
      <c r="Z111">
        <v>46736674</v>
      </c>
      <c r="AA111">
        <v>32219</v>
      </c>
      <c r="AB111">
        <v>370925</v>
      </c>
      <c r="AC111">
        <v>37</v>
      </c>
      <c r="AD111">
        <v>13087123</v>
      </c>
    </row>
    <row r="112" spans="1:30" x14ac:dyDescent="0.3">
      <c r="A112" t="s">
        <v>282</v>
      </c>
      <c r="B112" t="s">
        <v>142</v>
      </c>
      <c r="C112" t="s">
        <v>231</v>
      </c>
      <c r="D112">
        <v>217</v>
      </c>
      <c r="E112">
        <v>119</v>
      </c>
      <c r="F112">
        <v>98</v>
      </c>
      <c r="G112">
        <v>54.8</v>
      </c>
      <c r="H112">
        <v>416829340</v>
      </c>
      <c r="I112">
        <v>1377</v>
      </c>
      <c r="J112">
        <v>1920872</v>
      </c>
      <c r="K112">
        <v>2</v>
      </c>
      <c r="L112">
        <v>162198843</v>
      </c>
      <c r="M112">
        <v>92</v>
      </c>
      <c r="N112">
        <v>41</v>
      </c>
      <c r="O112">
        <v>51</v>
      </c>
      <c r="P112">
        <v>44.6</v>
      </c>
      <c r="Q112">
        <v>278714106</v>
      </c>
      <c r="R112">
        <v>779</v>
      </c>
      <c r="S112">
        <v>3029501</v>
      </c>
      <c r="T112">
        <v>2</v>
      </c>
      <c r="U112">
        <v>162198843</v>
      </c>
      <c r="V112">
        <v>125</v>
      </c>
      <c r="W112">
        <v>78</v>
      </c>
      <c r="X112">
        <v>47</v>
      </c>
      <c r="Y112">
        <v>62.4</v>
      </c>
      <c r="Z112">
        <v>138115234</v>
      </c>
      <c r="AA112">
        <v>2051</v>
      </c>
      <c r="AB112">
        <v>1104921</v>
      </c>
      <c r="AC112">
        <v>5</v>
      </c>
      <c r="AD112">
        <v>91156319</v>
      </c>
    </row>
    <row r="113" spans="1:30" x14ac:dyDescent="0.3">
      <c r="A113" t="s">
        <v>281</v>
      </c>
      <c r="B113" t="s">
        <v>176</v>
      </c>
      <c r="C113" t="s">
        <v>229</v>
      </c>
      <c r="D113">
        <v>500</v>
      </c>
      <c r="E113">
        <v>488</v>
      </c>
      <c r="F113">
        <v>12</v>
      </c>
      <c r="G113">
        <v>97.6</v>
      </c>
      <c r="H113">
        <v>2578188805</v>
      </c>
      <c r="I113">
        <v>49407</v>
      </c>
      <c r="J113">
        <v>5156377</v>
      </c>
      <c r="K113">
        <v>9</v>
      </c>
      <c r="L113">
        <v>2015623335</v>
      </c>
      <c r="M113">
        <v>314</v>
      </c>
      <c r="N113">
        <v>307</v>
      </c>
      <c r="O113">
        <v>7</v>
      </c>
      <c r="P113">
        <v>97.8</v>
      </c>
      <c r="Q113">
        <v>345324503</v>
      </c>
      <c r="R113">
        <v>45247</v>
      </c>
      <c r="S113">
        <v>1099759</v>
      </c>
      <c r="T113">
        <v>60</v>
      </c>
      <c r="U113">
        <v>59516903</v>
      </c>
      <c r="V113">
        <v>186</v>
      </c>
      <c r="W113">
        <v>181</v>
      </c>
      <c r="X113">
        <v>5</v>
      </c>
      <c r="Y113">
        <v>97.3</v>
      </c>
      <c r="Z113">
        <v>2232864302</v>
      </c>
      <c r="AA113">
        <v>55153</v>
      </c>
      <c r="AB113">
        <v>12004646</v>
      </c>
      <c r="AC113">
        <v>9</v>
      </c>
      <c r="AD113">
        <v>2015623335</v>
      </c>
    </row>
    <row r="114" spans="1:30" x14ac:dyDescent="0.3">
      <c r="A114" t="s">
        <v>280</v>
      </c>
      <c r="B114" t="s">
        <v>176</v>
      </c>
      <c r="C114" t="s">
        <v>230</v>
      </c>
      <c r="D114">
        <v>250</v>
      </c>
      <c r="E114">
        <v>145</v>
      </c>
      <c r="F114">
        <v>105</v>
      </c>
      <c r="G114">
        <v>58</v>
      </c>
      <c r="H114">
        <v>10207289</v>
      </c>
      <c r="I114">
        <v>1271</v>
      </c>
      <c r="J114">
        <v>40829</v>
      </c>
      <c r="K114">
        <v>0</v>
      </c>
      <c r="L114">
        <v>2884432</v>
      </c>
      <c r="M114">
        <v>173</v>
      </c>
      <c r="N114">
        <v>92</v>
      </c>
      <c r="O114">
        <v>81</v>
      </c>
      <c r="P114">
        <v>53.2</v>
      </c>
      <c r="Q114">
        <v>6514093</v>
      </c>
      <c r="R114">
        <v>1069</v>
      </c>
      <c r="S114">
        <v>37653</v>
      </c>
      <c r="T114">
        <v>0</v>
      </c>
      <c r="U114">
        <v>2884432</v>
      </c>
      <c r="V114">
        <v>77</v>
      </c>
      <c r="W114">
        <v>53</v>
      </c>
      <c r="X114">
        <v>24</v>
      </c>
      <c r="Y114">
        <v>68.8</v>
      </c>
      <c r="Z114">
        <v>3693196</v>
      </c>
      <c r="AA114">
        <v>7762</v>
      </c>
      <c r="AB114">
        <v>47963</v>
      </c>
      <c r="AC114">
        <v>0</v>
      </c>
      <c r="AD114">
        <v>628852</v>
      </c>
    </row>
    <row r="115" spans="1:30" x14ac:dyDescent="0.3">
      <c r="A115" t="s">
        <v>279</v>
      </c>
      <c r="B115" t="s">
        <v>176</v>
      </c>
      <c r="C115" t="s">
        <v>231</v>
      </c>
      <c r="D115">
        <v>28</v>
      </c>
      <c r="E115">
        <v>15</v>
      </c>
      <c r="F115">
        <v>13</v>
      </c>
      <c r="G115">
        <v>53.6</v>
      </c>
      <c r="H115">
        <v>126675304</v>
      </c>
      <c r="I115">
        <v>1093</v>
      </c>
      <c r="J115">
        <v>4524118</v>
      </c>
      <c r="K115">
        <v>25</v>
      </c>
      <c r="L115">
        <v>110607455</v>
      </c>
      <c r="M115">
        <v>21</v>
      </c>
      <c r="N115">
        <v>11</v>
      </c>
      <c r="O115">
        <v>10</v>
      </c>
      <c r="P115">
        <v>52.4</v>
      </c>
      <c r="Q115">
        <v>125296858</v>
      </c>
      <c r="R115">
        <v>1037</v>
      </c>
      <c r="S115">
        <v>5966517</v>
      </c>
      <c r="T115">
        <v>25</v>
      </c>
      <c r="U115">
        <v>110607455</v>
      </c>
      <c r="V115">
        <v>7</v>
      </c>
      <c r="W115">
        <v>4</v>
      </c>
      <c r="X115">
        <v>3</v>
      </c>
      <c r="Y115">
        <v>57.1</v>
      </c>
      <c r="Z115">
        <v>1378446</v>
      </c>
      <c r="AA115">
        <v>1149</v>
      </c>
      <c r="AB115">
        <v>196920</v>
      </c>
      <c r="AC115">
        <v>47</v>
      </c>
      <c r="AD115">
        <v>1299957</v>
      </c>
    </row>
    <row r="116" spans="1:30" x14ac:dyDescent="0.3">
      <c r="A116" t="s">
        <v>279</v>
      </c>
      <c r="B116" t="s">
        <v>176</v>
      </c>
      <c r="C116" t="s">
        <v>230</v>
      </c>
      <c r="D116">
        <v>67</v>
      </c>
      <c r="E116">
        <v>30</v>
      </c>
      <c r="F116">
        <v>37</v>
      </c>
      <c r="G116">
        <v>44.8</v>
      </c>
      <c r="H116">
        <v>66424501</v>
      </c>
      <c r="I116">
        <v>769</v>
      </c>
      <c r="J116">
        <v>991410</v>
      </c>
      <c r="K116">
        <v>1</v>
      </c>
      <c r="L116">
        <v>39643384</v>
      </c>
      <c r="M116">
        <v>48</v>
      </c>
      <c r="N116">
        <v>15</v>
      </c>
      <c r="O116">
        <v>33</v>
      </c>
      <c r="P116">
        <v>31.2</v>
      </c>
      <c r="Q116">
        <v>7079872</v>
      </c>
      <c r="R116">
        <v>122</v>
      </c>
      <c r="S116">
        <v>147497</v>
      </c>
      <c r="T116">
        <v>1</v>
      </c>
      <c r="U116">
        <v>7014646</v>
      </c>
      <c r="V116">
        <v>19</v>
      </c>
      <c r="W116">
        <v>15</v>
      </c>
      <c r="X116">
        <v>4</v>
      </c>
      <c r="Y116">
        <v>78.900000000000006</v>
      </c>
      <c r="Z116">
        <v>59344629</v>
      </c>
      <c r="AA116">
        <v>131068</v>
      </c>
      <c r="AB116">
        <v>3123401</v>
      </c>
      <c r="AC116">
        <v>140</v>
      </c>
      <c r="AD116">
        <v>39643384</v>
      </c>
    </row>
    <row r="117" spans="1:30" x14ac:dyDescent="0.3">
      <c r="A117" t="s">
        <v>278</v>
      </c>
      <c r="B117" t="s">
        <v>142</v>
      </c>
      <c r="C117" t="s">
        <v>231</v>
      </c>
      <c r="D117">
        <v>500</v>
      </c>
      <c r="E117">
        <v>458</v>
      </c>
      <c r="F117">
        <v>42</v>
      </c>
      <c r="G117">
        <v>91.6</v>
      </c>
      <c r="H117">
        <v>434600090</v>
      </c>
      <c r="I117">
        <v>221750</v>
      </c>
      <c r="J117">
        <v>869200</v>
      </c>
      <c r="K117">
        <v>7</v>
      </c>
      <c r="L117">
        <v>71199710</v>
      </c>
      <c r="M117">
        <v>285</v>
      </c>
      <c r="N117">
        <v>251</v>
      </c>
      <c r="O117">
        <v>34</v>
      </c>
      <c r="P117">
        <v>88.1</v>
      </c>
      <c r="Q117">
        <v>294955007</v>
      </c>
      <c r="R117">
        <v>169350</v>
      </c>
      <c r="S117">
        <v>1034929</v>
      </c>
      <c r="T117">
        <v>18</v>
      </c>
      <c r="U117">
        <v>71199710</v>
      </c>
      <c r="V117">
        <v>215</v>
      </c>
      <c r="W117">
        <v>207</v>
      </c>
      <c r="X117">
        <v>8</v>
      </c>
      <c r="Y117">
        <v>96.3</v>
      </c>
      <c r="Z117">
        <v>139645083</v>
      </c>
      <c r="AA117">
        <v>246658</v>
      </c>
      <c r="AB117">
        <v>649512</v>
      </c>
      <c r="AC117">
        <v>7</v>
      </c>
      <c r="AD117">
        <v>12936416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1A067C-4324-4519-9FB8-5AF0F26B0C80}">
  <dimension ref="A1:AD198"/>
  <sheetViews>
    <sheetView topLeftCell="A178" workbookViewId="0">
      <selection activeCell="F15" sqref="F15"/>
    </sheetView>
  </sheetViews>
  <sheetFormatPr defaultRowHeight="14.4" x14ac:dyDescent="0.3"/>
  <cols>
    <col min="1" max="1" width="32.6640625" bestFit="1" customWidth="1"/>
    <col min="2" max="2" width="10.6640625" bestFit="1" customWidth="1"/>
    <col min="3" max="3" width="10.5546875" bestFit="1" customWidth="1"/>
    <col min="4" max="4" width="16.88671875" bestFit="1" customWidth="1"/>
    <col min="5" max="5" width="20.5546875" bestFit="1" customWidth="1"/>
    <col min="6" max="6" width="20.77734375" bestFit="1" customWidth="1"/>
    <col min="7" max="7" width="21" bestFit="1" customWidth="1"/>
    <col min="8" max="8" width="24.5546875" bestFit="1" customWidth="1"/>
    <col min="9" max="9" width="24.88671875" bestFit="1" customWidth="1"/>
    <col min="10" max="10" width="21" bestFit="1" customWidth="1"/>
    <col min="11" max="11" width="24.5546875" bestFit="1" customWidth="1"/>
    <col min="12" max="12" width="24.88671875" bestFit="1" customWidth="1"/>
    <col min="13" max="13" width="24.6640625" bestFit="1" customWidth="1"/>
    <col min="14" max="14" width="28.33203125" bestFit="1" customWidth="1"/>
    <col min="15" max="15" width="28.5546875" bestFit="1" customWidth="1"/>
    <col min="16" max="16" width="18.5546875" bestFit="1" customWidth="1"/>
    <col min="17" max="17" width="22.21875" bestFit="1" customWidth="1"/>
    <col min="18" max="18" width="22.44140625" bestFit="1" customWidth="1"/>
    <col min="19" max="19" width="16.88671875" bestFit="1" customWidth="1"/>
    <col min="20" max="20" width="20.5546875" bestFit="1" customWidth="1"/>
    <col min="21" max="21" width="20.77734375" bestFit="1" customWidth="1"/>
    <col min="22" max="22" width="20.6640625" bestFit="1" customWidth="1"/>
    <col min="23" max="23" width="24.33203125" bestFit="1" customWidth="1"/>
    <col min="24" max="24" width="24.5546875" bestFit="1" customWidth="1"/>
    <col min="25" max="25" width="21" bestFit="1" customWidth="1"/>
    <col min="26" max="26" width="24.5546875" bestFit="1" customWidth="1"/>
    <col min="27" max="27" width="24.88671875" bestFit="1" customWidth="1"/>
    <col min="28" max="28" width="16.109375" bestFit="1" customWidth="1"/>
    <col min="29" max="29" width="19.6640625" bestFit="1" customWidth="1"/>
    <col min="30" max="30" width="20" bestFit="1" customWidth="1"/>
  </cols>
  <sheetData>
    <row r="1" spans="1:30" x14ac:dyDescent="0.3">
      <c r="A1" t="s">
        <v>123</v>
      </c>
      <c r="B1" t="s">
        <v>122</v>
      </c>
      <c r="C1" t="s">
        <v>249</v>
      </c>
      <c r="D1" t="s">
        <v>277</v>
      </c>
      <c r="E1" t="s">
        <v>276</v>
      </c>
      <c r="F1" t="s">
        <v>275</v>
      </c>
      <c r="G1" t="s">
        <v>274</v>
      </c>
      <c r="H1" t="s">
        <v>273</v>
      </c>
      <c r="I1" t="s">
        <v>272</v>
      </c>
      <c r="J1" t="s">
        <v>271</v>
      </c>
      <c r="K1" t="s">
        <v>270</v>
      </c>
      <c r="L1" t="s">
        <v>269</v>
      </c>
      <c r="M1" t="s">
        <v>268</v>
      </c>
      <c r="N1" t="s">
        <v>267</v>
      </c>
      <c r="O1" t="s">
        <v>266</v>
      </c>
      <c r="P1" t="s">
        <v>265</v>
      </c>
      <c r="Q1" t="s">
        <v>264</v>
      </c>
      <c r="R1" t="s">
        <v>263</v>
      </c>
      <c r="S1" t="s">
        <v>262</v>
      </c>
      <c r="T1" t="s">
        <v>261</v>
      </c>
      <c r="U1" t="s">
        <v>260</v>
      </c>
      <c r="V1" t="s">
        <v>259</v>
      </c>
      <c r="W1" t="s">
        <v>258</v>
      </c>
      <c r="X1" t="s">
        <v>257</v>
      </c>
      <c r="Y1" t="s">
        <v>256</v>
      </c>
      <c r="Z1" t="s">
        <v>255</v>
      </c>
      <c r="AA1" t="s">
        <v>254</v>
      </c>
      <c r="AB1" t="s">
        <v>253</v>
      </c>
      <c r="AC1" t="s">
        <v>252</v>
      </c>
      <c r="AD1" t="s">
        <v>251</v>
      </c>
    </row>
    <row r="2" spans="1:30" x14ac:dyDescent="0.3">
      <c r="A2" t="s">
        <v>83</v>
      </c>
      <c r="B2" t="s">
        <v>0</v>
      </c>
      <c r="C2" t="s">
        <v>229</v>
      </c>
      <c r="D2">
        <v>220</v>
      </c>
      <c r="E2">
        <v>69</v>
      </c>
      <c r="F2">
        <v>151</v>
      </c>
      <c r="G2">
        <v>75</v>
      </c>
      <c r="H2">
        <v>25</v>
      </c>
      <c r="I2">
        <v>50</v>
      </c>
      <c r="J2">
        <v>145</v>
      </c>
      <c r="K2">
        <v>44</v>
      </c>
      <c r="L2">
        <v>101</v>
      </c>
      <c r="M2">
        <v>34.1</v>
      </c>
      <c r="N2">
        <v>36.200000000000003</v>
      </c>
      <c r="O2">
        <v>33.1</v>
      </c>
      <c r="P2">
        <v>312</v>
      </c>
      <c r="Q2">
        <v>363</v>
      </c>
      <c r="R2">
        <v>303</v>
      </c>
      <c r="S2">
        <v>1744543</v>
      </c>
      <c r="T2">
        <v>3446732</v>
      </c>
      <c r="U2">
        <v>966722</v>
      </c>
      <c r="V2">
        <v>2</v>
      </c>
      <c r="W2">
        <v>16</v>
      </c>
      <c r="X2">
        <v>2</v>
      </c>
      <c r="Y2">
        <v>108746959</v>
      </c>
      <c r="Z2">
        <v>108746959</v>
      </c>
      <c r="AA2">
        <v>53716713</v>
      </c>
      <c r="AB2">
        <v>383799460</v>
      </c>
      <c r="AC2">
        <v>237824508</v>
      </c>
      <c r="AD2">
        <v>145975022</v>
      </c>
    </row>
    <row r="3" spans="1:30" x14ac:dyDescent="0.3">
      <c r="A3" t="s">
        <v>41</v>
      </c>
      <c r="B3" t="s">
        <v>0</v>
      </c>
      <c r="C3" t="s">
        <v>229</v>
      </c>
      <c r="D3">
        <v>150</v>
      </c>
      <c r="E3">
        <v>124</v>
      </c>
      <c r="F3">
        <v>26</v>
      </c>
      <c r="G3">
        <v>74</v>
      </c>
      <c r="H3">
        <v>55</v>
      </c>
      <c r="I3">
        <v>19</v>
      </c>
      <c r="J3">
        <v>76</v>
      </c>
      <c r="K3">
        <v>69</v>
      </c>
      <c r="L3">
        <v>7</v>
      </c>
      <c r="M3">
        <v>49.3</v>
      </c>
      <c r="N3">
        <v>44.4</v>
      </c>
      <c r="O3">
        <v>73.099999999999994</v>
      </c>
      <c r="P3">
        <v>974</v>
      </c>
      <c r="Q3">
        <v>731</v>
      </c>
      <c r="R3">
        <v>7167</v>
      </c>
      <c r="S3">
        <v>71059</v>
      </c>
      <c r="T3">
        <v>60967</v>
      </c>
      <c r="U3">
        <v>119187</v>
      </c>
      <c r="V3">
        <v>61</v>
      </c>
      <c r="W3">
        <v>73</v>
      </c>
      <c r="X3">
        <v>61</v>
      </c>
      <c r="Y3">
        <v>2489325</v>
      </c>
      <c r="Z3">
        <v>2489325</v>
      </c>
      <c r="AA3">
        <v>1474793</v>
      </c>
      <c r="AB3">
        <v>10658850</v>
      </c>
      <c r="AC3">
        <v>7559908</v>
      </c>
      <c r="AD3">
        <v>3098862</v>
      </c>
    </row>
    <row r="4" spans="1:30" x14ac:dyDescent="0.3">
      <c r="A4" t="s">
        <v>30</v>
      </c>
      <c r="B4" t="s">
        <v>0</v>
      </c>
      <c r="C4" t="s">
        <v>230</v>
      </c>
      <c r="D4">
        <v>300</v>
      </c>
      <c r="E4">
        <v>284</v>
      </c>
      <c r="F4">
        <v>16</v>
      </c>
      <c r="G4">
        <v>272</v>
      </c>
      <c r="H4">
        <v>257</v>
      </c>
      <c r="I4">
        <v>15</v>
      </c>
      <c r="J4">
        <v>28</v>
      </c>
      <c r="K4">
        <v>27</v>
      </c>
      <c r="L4">
        <v>1</v>
      </c>
      <c r="M4">
        <v>90.7</v>
      </c>
      <c r="N4">
        <v>90.5</v>
      </c>
      <c r="O4">
        <v>93.8</v>
      </c>
      <c r="P4">
        <v>35138</v>
      </c>
      <c r="Q4">
        <v>38966</v>
      </c>
      <c r="R4">
        <v>16623</v>
      </c>
      <c r="S4">
        <v>2717535</v>
      </c>
      <c r="T4">
        <v>2864542</v>
      </c>
      <c r="U4">
        <v>108167</v>
      </c>
      <c r="V4">
        <v>3</v>
      </c>
      <c r="W4">
        <v>3</v>
      </c>
      <c r="X4">
        <v>21</v>
      </c>
      <c r="Y4">
        <v>81373462</v>
      </c>
      <c r="Z4">
        <v>81373462</v>
      </c>
      <c r="AA4">
        <v>1004419</v>
      </c>
      <c r="AB4">
        <v>815260500</v>
      </c>
      <c r="AC4">
        <v>813529928</v>
      </c>
      <c r="AD4">
        <v>1730672</v>
      </c>
    </row>
    <row r="5" spans="1:30" x14ac:dyDescent="0.3">
      <c r="A5" t="s">
        <v>91</v>
      </c>
      <c r="B5" t="s">
        <v>0</v>
      </c>
      <c r="C5" t="s">
        <v>229</v>
      </c>
      <c r="D5">
        <v>494</v>
      </c>
      <c r="E5">
        <v>389</v>
      </c>
      <c r="F5">
        <v>105</v>
      </c>
      <c r="G5">
        <v>64</v>
      </c>
      <c r="H5">
        <v>47</v>
      </c>
      <c r="I5">
        <v>17</v>
      </c>
      <c r="J5">
        <v>430</v>
      </c>
      <c r="K5">
        <v>342</v>
      </c>
      <c r="L5">
        <v>88</v>
      </c>
      <c r="M5">
        <v>13</v>
      </c>
      <c r="N5">
        <v>12.1</v>
      </c>
      <c r="O5">
        <v>16.2</v>
      </c>
      <c r="P5">
        <v>97</v>
      </c>
      <c r="Q5">
        <v>93</v>
      </c>
      <c r="R5">
        <v>102</v>
      </c>
      <c r="S5">
        <v>13426</v>
      </c>
      <c r="T5">
        <v>4407</v>
      </c>
      <c r="U5">
        <v>46842</v>
      </c>
      <c r="V5">
        <v>1</v>
      </c>
      <c r="W5">
        <v>1</v>
      </c>
      <c r="X5">
        <v>7</v>
      </c>
      <c r="Y5">
        <v>1242714</v>
      </c>
      <c r="Z5">
        <v>510117</v>
      </c>
      <c r="AA5">
        <v>1242714</v>
      </c>
      <c r="AB5">
        <v>6632444</v>
      </c>
      <c r="AC5">
        <v>1714323</v>
      </c>
      <c r="AD5">
        <v>4918410</v>
      </c>
    </row>
    <row r="6" spans="1:30" x14ac:dyDescent="0.3">
      <c r="A6" t="s">
        <v>58</v>
      </c>
      <c r="B6" t="s">
        <v>0</v>
      </c>
      <c r="C6" t="s">
        <v>230</v>
      </c>
      <c r="D6">
        <v>330</v>
      </c>
      <c r="E6">
        <v>197</v>
      </c>
      <c r="F6">
        <v>133</v>
      </c>
      <c r="G6">
        <v>238</v>
      </c>
      <c r="H6">
        <v>138</v>
      </c>
      <c r="I6">
        <v>100</v>
      </c>
      <c r="J6">
        <v>92</v>
      </c>
      <c r="K6">
        <v>59</v>
      </c>
      <c r="L6">
        <v>33</v>
      </c>
      <c r="M6">
        <v>72.099999999999994</v>
      </c>
      <c r="N6">
        <v>70.099999999999994</v>
      </c>
      <c r="O6">
        <v>75.2</v>
      </c>
      <c r="P6">
        <v>3181</v>
      </c>
      <c r="Q6">
        <v>2718</v>
      </c>
      <c r="R6">
        <v>4181</v>
      </c>
      <c r="S6">
        <v>1053989</v>
      </c>
      <c r="T6">
        <v>1660606</v>
      </c>
      <c r="U6">
        <v>155466</v>
      </c>
      <c r="V6">
        <v>2</v>
      </c>
      <c r="W6">
        <v>2</v>
      </c>
      <c r="X6">
        <v>3</v>
      </c>
      <c r="Y6">
        <v>81543332</v>
      </c>
      <c r="Z6">
        <v>81543332</v>
      </c>
      <c r="AA6">
        <v>10823889</v>
      </c>
      <c r="AB6">
        <v>347816370</v>
      </c>
      <c r="AC6">
        <v>327139382</v>
      </c>
      <c r="AD6">
        <v>20676978</v>
      </c>
    </row>
    <row r="7" spans="1:30" x14ac:dyDescent="0.3">
      <c r="A7" t="s">
        <v>108</v>
      </c>
      <c r="B7" t="s">
        <v>0</v>
      </c>
      <c r="C7" t="s">
        <v>229</v>
      </c>
      <c r="D7">
        <v>497</v>
      </c>
      <c r="E7">
        <v>344</v>
      </c>
      <c r="F7">
        <v>153</v>
      </c>
      <c r="G7">
        <v>358</v>
      </c>
      <c r="H7">
        <v>237</v>
      </c>
      <c r="I7">
        <v>121</v>
      </c>
      <c r="J7">
        <v>139</v>
      </c>
      <c r="K7">
        <v>107</v>
      </c>
      <c r="L7">
        <v>32</v>
      </c>
      <c r="M7">
        <v>72</v>
      </c>
      <c r="N7">
        <v>68.900000000000006</v>
      </c>
      <c r="O7">
        <v>79.099999999999994</v>
      </c>
      <c r="P7">
        <v>3001</v>
      </c>
      <c r="Q7">
        <v>2274</v>
      </c>
      <c r="R7">
        <v>10115</v>
      </c>
      <c r="S7">
        <v>276032</v>
      </c>
      <c r="T7">
        <v>243756</v>
      </c>
      <c r="U7">
        <v>348601</v>
      </c>
      <c r="V7">
        <v>18</v>
      </c>
      <c r="W7">
        <v>18</v>
      </c>
      <c r="X7">
        <v>152</v>
      </c>
      <c r="Y7">
        <v>15570410</v>
      </c>
      <c r="Z7">
        <v>15570410</v>
      </c>
      <c r="AA7">
        <v>10916908</v>
      </c>
      <c r="AB7">
        <v>137187904</v>
      </c>
      <c r="AC7">
        <v>83852064</v>
      </c>
      <c r="AD7">
        <v>53335953</v>
      </c>
    </row>
    <row r="8" spans="1:30" x14ac:dyDescent="0.3">
      <c r="A8" t="s">
        <v>34</v>
      </c>
      <c r="B8" t="s">
        <v>0</v>
      </c>
      <c r="C8" t="s">
        <v>230</v>
      </c>
      <c r="D8">
        <v>50</v>
      </c>
      <c r="E8">
        <v>43</v>
      </c>
      <c r="F8">
        <v>7</v>
      </c>
      <c r="G8">
        <v>35</v>
      </c>
      <c r="H8">
        <v>30</v>
      </c>
      <c r="I8">
        <v>5</v>
      </c>
      <c r="J8">
        <v>15</v>
      </c>
      <c r="K8">
        <v>13</v>
      </c>
      <c r="L8">
        <v>2</v>
      </c>
      <c r="M8">
        <v>70</v>
      </c>
      <c r="N8">
        <v>69.8</v>
      </c>
      <c r="O8">
        <v>71.400000000000006</v>
      </c>
      <c r="P8">
        <v>3074</v>
      </c>
      <c r="Q8">
        <v>2756</v>
      </c>
      <c r="R8">
        <v>39349</v>
      </c>
      <c r="S8">
        <v>15480975</v>
      </c>
      <c r="T8">
        <v>4733012</v>
      </c>
      <c r="U8">
        <v>81504173</v>
      </c>
      <c r="V8">
        <v>0</v>
      </c>
      <c r="W8">
        <v>0</v>
      </c>
      <c r="X8">
        <v>4</v>
      </c>
      <c r="Y8">
        <v>570204256</v>
      </c>
      <c r="Z8">
        <v>73644705</v>
      </c>
      <c r="AA8">
        <v>570204256</v>
      </c>
      <c r="AB8">
        <v>774048750</v>
      </c>
      <c r="AC8">
        <v>203519516</v>
      </c>
      <c r="AD8">
        <v>570529211</v>
      </c>
    </row>
    <row r="9" spans="1:30" x14ac:dyDescent="0.3">
      <c r="A9" t="s">
        <v>107</v>
      </c>
      <c r="B9" t="s">
        <v>0</v>
      </c>
      <c r="C9" t="s">
        <v>230</v>
      </c>
      <c r="D9">
        <v>250</v>
      </c>
      <c r="E9">
        <v>246</v>
      </c>
      <c r="F9">
        <v>4</v>
      </c>
      <c r="G9">
        <v>233</v>
      </c>
      <c r="H9">
        <v>229</v>
      </c>
      <c r="I9">
        <v>4</v>
      </c>
      <c r="J9">
        <v>17</v>
      </c>
      <c r="K9">
        <v>17</v>
      </c>
      <c r="L9">
        <v>0</v>
      </c>
      <c r="M9">
        <v>93.2</v>
      </c>
      <c r="N9">
        <v>93.1</v>
      </c>
      <c r="O9">
        <v>100</v>
      </c>
      <c r="P9">
        <v>5389</v>
      </c>
      <c r="Q9">
        <v>5331</v>
      </c>
      <c r="R9">
        <v>35876</v>
      </c>
      <c r="S9">
        <v>2952474</v>
      </c>
      <c r="T9">
        <v>2999551</v>
      </c>
      <c r="U9">
        <v>57254</v>
      </c>
      <c r="V9">
        <v>0</v>
      </c>
      <c r="W9">
        <v>0</v>
      </c>
      <c r="X9">
        <v>12418</v>
      </c>
      <c r="Y9">
        <v>141106636</v>
      </c>
      <c r="Z9">
        <v>141106636</v>
      </c>
      <c r="AA9">
        <v>144847</v>
      </c>
      <c r="AB9">
        <v>738118500</v>
      </c>
      <c r="AC9">
        <v>737889546</v>
      </c>
      <c r="AD9">
        <v>229016</v>
      </c>
    </row>
    <row r="10" spans="1:30" x14ac:dyDescent="0.3">
      <c r="A10" t="s">
        <v>107</v>
      </c>
      <c r="B10" t="s">
        <v>0</v>
      </c>
      <c r="C10" t="s">
        <v>231</v>
      </c>
      <c r="D10">
        <v>134</v>
      </c>
      <c r="E10">
        <v>126</v>
      </c>
      <c r="F10">
        <v>8</v>
      </c>
      <c r="G10">
        <v>123</v>
      </c>
      <c r="H10">
        <v>116</v>
      </c>
      <c r="I10">
        <v>7</v>
      </c>
      <c r="J10">
        <v>11</v>
      </c>
      <c r="K10">
        <v>10</v>
      </c>
      <c r="L10">
        <v>1</v>
      </c>
      <c r="M10">
        <v>91.8</v>
      </c>
      <c r="N10">
        <v>92.1</v>
      </c>
      <c r="O10">
        <v>87.5</v>
      </c>
      <c r="P10">
        <v>37390</v>
      </c>
      <c r="Q10">
        <v>37390</v>
      </c>
      <c r="R10">
        <v>50685</v>
      </c>
      <c r="S10">
        <v>3329249</v>
      </c>
      <c r="T10">
        <v>3473742</v>
      </c>
      <c r="U10">
        <v>1053485</v>
      </c>
      <c r="V10">
        <v>81</v>
      </c>
      <c r="W10">
        <v>152</v>
      </c>
      <c r="X10">
        <v>81</v>
      </c>
      <c r="Y10">
        <v>70399625</v>
      </c>
      <c r="Z10">
        <v>70399625</v>
      </c>
      <c r="AA10">
        <v>5909880</v>
      </c>
      <c r="AB10">
        <v>446119366</v>
      </c>
      <c r="AC10">
        <v>437691492</v>
      </c>
      <c r="AD10">
        <v>8427880</v>
      </c>
    </row>
    <row r="11" spans="1:30" x14ac:dyDescent="0.3">
      <c r="A11" t="s">
        <v>94</v>
      </c>
      <c r="B11" t="s">
        <v>0</v>
      </c>
      <c r="C11" t="s">
        <v>229</v>
      </c>
      <c r="D11">
        <v>371</v>
      </c>
      <c r="E11">
        <v>258</v>
      </c>
      <c r="F11">
        <v>113</v>
      </c>
      <c r="G11">
        <v>191</v>
      </c>
      <c r="H11">
        <v>114</v>
      </c>
      <c r="I11">
        <v>77</v>
      </c>
      <c r="J11">
        <v>180</v>
      </c>
      <c r="K11">
        <v>144</v>
      </c>
      <c r="L11">
        <v>36</v>
      </c>
      <c r="M11">
        <v>51.5</v>
      </c>
      <c r="N11">
        <v>44.2</v>
      </c>
      <c r="O11">
        <v>68.099999999999994</v>
      </c>
      <c r="P11">
        <v>1128</v>
      </c>
      <c r="Q11">
        <v>713</v>
      </c>
      <c r="R11">
        <v>3941</v>
      </c>
      <c r="S11">
        <v>250451</v>
      </c>
      <c r="T11">
        <v>23284</v>
      </c>
      <c r="U11">
        <v>769114</v>
      </c>
      <c r="V11">
        <v>2</v>
      </c>
      <c r="W11">
        <v>2</v>
      </c>
      <c r="X11">
        <v>3</v>
      </c>
      <c r="Y11">
        <v>51097596</v>
      </c>
      <c r="Z11">
        <v>877753</v>
      </c>
      <c r="AA11">
        <v>51097596</v>
      </c>
      <c r="AB11">
        <v>92917321</v>
      </c>
      <c r="AC11">
        <v>6007272</v>
      </c>
      <c r="AD11">
        <v>86909882</v>
      </c>
    </row>
    <row r="12" spans="1:30" x14ac:dyDescent="0.3">
      <c r="A12" t="s">
        <v>94</v>
      </c>
      <c r="B12" t="s">
        <v>0</v>
      </c>
      <c r="C12" t="s">
        <v>230</v>
      </c>
      <c r="D12">
        <v>500</v>
      </c>
      <c r="E12">
        <v>235</v>
      </c>
      <c r="F12">
        <v>265</v>
      </c>
      <c r="G12">
        <v>403</v>
      </c>
      <c r="H12">
        <v>172</v>
      </c>
      <c r="I12">
        <v>231</v>
      </c>
      <c r="J12">
        <v>97</v>
      </c>
      <c r="K12">
        <v>63</v>
      </c>
      <c r="L12">
        <v>34</v>
      </c>
      <c r="M12">
        <v>80.599999999999994</v>
      </c>
      <c r="N12">
        <v>73.2</v>
      </c>
      <c r="O12">
        <v>87.2</v>
      </c>
      <c r="P12">
        <v>7639</v>
      </c>
      <c r="Q12">
        <v>4762</v>
      </c>
      <c r="R12">
        <v>10969</v>
      </c>
      <c r="S12">
        <v>739236</v>
      </c>
      <c r="T12">
        <v>67051</v>
      </c>
      <c r="U12">
        <v>1335326</v>
      </c>
      <c r="V12">
        <v>0</v>
      </c>
      <c r="W12">
        <v>0</v>
      </c>
      <c r="X12">
        <v>0</v>
      </c>
      <c r="Y12">
        <v>340628067</v>
      </c>
      <c r="Z12">
        <v>5677314</v>
      </c>
      <c r="AA12">
        <v>340628067</v>
      </c>
      <c r="AB12">
        <v>369618000</v>
      </c>
      <c r="AC12">
        <v>15756985</v>
      </c>
      <c r="AD12">
        <v>353861390</v>
      </c>
    </row>
    <row r="13" spans="1:30" x14ac:dyDescent="0.3">
      <c r="A13" t="s">
        <v>94</v>
      </c>
      <c r="B13" t="s">
        <v>0</v>
      </c>
      <c r="C13" t="s">
        <v>231</v>
      </c>
      <c r="D13">
        <v>500</v>
      </c>
      <c r="E13">
        <v>179</v>
      </c>
      <c r="F13">
        <v>321</v>
      </c>
      <c r="G13">
        <v>276</v>
      </c>
      <c r="H13">
        <v>77</v>
      </c>
      <c r="I13">
        <v>199</v>
      </c>
      <c r="J13">
        <v>224</v>
      </c>
      <c r="K13">
        <v>102</v>
      </c>
      <c r="L13">
        <v>122</v>
      </c>
      <c r="M13">
        <v>55.2</v>
      </c>
      <c r="N13">
        <v>43</v>
      </c>
      <c r="O13">
        <v>62</v>
      </c>
      <c r="P13">
        <v>1317</v>
      </c>
      <c r="Q13">
        <v>747</v>
      </c>
      <c r="R13">
        <v>2403</v>
      </c>
      <c r="S13">
        <v>9085</v>
      </c>
      <c r="T13">
        <v>3659</v>
      </c>
      <c r="U13">
        <v>12111</v>
      </c>
      <c r="V13">
        <v>1</v>
      </c>
      <c r="W13">
        <v>6</v>
      </c>
      <c r="X13">
        <v>1</v>
      </c>
      <c r="Y13">
        <v>323204</v>
      </c>
      <c r="Z13">
        <v>68549</v>
      </c>
      <c r="AA13">
        <v>323204</v>
      </c>
      <c r="AB13">
        <v>4542500</v>
      </c>
      <c r="AC13">
        <v>654961</v>
      </c>
      <c r="AD13">
        <v>3887631</v>
      </c>
    </row>
    <row r="14" spans="1:30" x14ac:dyDescent="0.3">
      <c r="A14" t="s">
        <v>67</v>
      </c>
      <c r="B14" t="s">
        <v>0</v>
      </c>
      <c r="C14" t="s">
        <v>231</v>
      </c>
      <c r="D14">
        <v>350</v>
      </c>
      <c r="E14">
        <v>279</v>
      </c>
      <c r="F14">
        <v>71</v>
      </c>
      <c r="G14">
        <v>86</v>
      </c>
      <c r="H14">
        <v>39</v>
      </c>
      <c r="I14">
        <v>47</v>
      </c>
      <c r="J14">
        <v>264</v>
      </c>
      <c r="K14">
        <v>240</v>
      </c>
      <c r="L14">
        <v>24</v>
      </c>
      <c r="M14">
        <v>24.6</v>
      </c>
      <c r="N14">
        <v>14</v>
      </c>
      <c r="O14">
        <v>66.2</v>
      </c>
      <c r="P14">
        <v>104</v>
      </c>
      <c r="Q14">
        <v>71</v>
      </c>
      <c r="R14">
        <v>2948</v>
      </c>
      <c r="S14">
        <v>318215</v>
      </c>
      <c r="T14">
        <v>336739</v>
      </c>
      <c r="U14">
        <v>245425</v>
      </c>
      <c r="V14">
        <v>0</v>
      </c>
      <c r="W14">
        <v>0</v>
      </c>
      <c r="X14">
        <v>12</v>
      </c>
      <c r="Y14">
        <v>76650843</v>
      </c>
      <c r="Z14">
        <v>76650843</v>
      </c>
      <c r="AA14">
        <v>7703189</v>
      </c>
      <c r="AB14">
        <v>111375250</v>
      </c>
      <c r="AC14">
        <v>93950181</v>
      </c>
      <c r="AD14">
        <v>17425175</v>
      </c>
    </row>
    <row r="15" spans="1:30" x14ac:dyDescent="0.3">
      <c r="A15" t="s">
        <v>71</v>
      </c>
      <c r="B15" t="s">
        <v>0</v>
      </c>
      <c r="C15" t="s">
        <v>229</v>
      </c>
      <c r="D15">
        <v>200</v>
      </c>
      <c r="E15">
        <v>113</v>
      </c>
      <c r="F15">
        <v>87</v>
      </c>
      <c r="G15">
        <v>47</v>
      </c>
      <c r="H15">
        <v>14</v>
      </c>
      <c r="I15">
        <v>33</v>
      </c>
      <c r="J15">
        <v>153</v>
      </c>
      <c r="K15">
        <v>99</v>
      </c>
      <c r="L15">
        <v>54</v>
      </c>
      <c r="M15">
        <v>23.5</v>
      </c>
      <c r="N15">
        <v>12.4</v>
      </c>
      <c r="O15">
        <v>37.9</v>
      </c>
      <c r="P15">
        <v>182</v>
      </c>
      <c r="Q15">
        <v>138</v>
      </c>
      <c r="R15">
        <v>308</v>
      </c>
      <c r="S15">
        <v>193362</v>
      </c>
      <c r="T15">
        <v>1634</v>
      </c>
      <c r="U15">
        <v>442388</v>
      </c>
      <c r="V15">
        <v>5</v>
      </c>
      <c r="W15">
        <v>5</v>
      </c>
      <c r="X15">
        <v>5</v>
      </c>
      <c r="Y15">
        <v>13117056</v>
      </c>
      <c r="Z15">
        <v>86117</v>
      </c>
      <c r="AA15">
        <v>13117056</v>
      </c>
      <c r="AB15">
        <v>38672400</v>
      </c>
      <c r="AC15">
        <v>184642</v>
      </c>
      <c r="AD15">
        <v>38487756</v>
      </c>
    </row>
    <row r="16" spans="1:30" x14ac:dyDescent="0.3">
      <c r="A16" t="s">
        <v>71</v>
      </c>
      <c r="B16" t="s">
        <v>0</v>
      </c>
      <c r="C16" t="s">
        <v>230</v>
      </c>
      <c r="D16">
        <v>500</v>
      </c>
      <c r="E16">
        <v>427</v>
      </c>
      <c r="F16">
        <v>73</v>
      </c>
      <c r="G16">
        <v>258</v>
      </c>
      <c r="H16">
        <v>236</v>
      </c>
      <c r="I16">
        <v>22</v>
      </c>
      <c r="J16">
        <v>242</v>
      </c>
      <c r="K16">
        <v>191</v>
      </c>
      <c r="L16">
        <v>51</v>
      </c>
      <c r="M16">
        <v>51.6</v>
      </c>
      <c r="N16">
        <v>55.3</v>
      </c>
      <c r="O16">
        <v>30.1</v>
      </c>
      <c r="P16">
        <v>1146</v>
      </c>
      <c r="Q16">
        <v>1337</v>
      </c>
      <c r="R16">
        <v>40</v>
      </c>
      <c r="S16">
        <v>369496</v>
      </c>
      <c r="T16">
        <v>412847</v>
      </c>
      <c r="U16">
        <v>115921</v>
      </c>
      <c r="V16">
        <v>0</v>
      </c>
      <c r="W16">
        <v>0</v>
      </c>
      <c r="X16">
        <v>0</v>
      </c>
      <c r="Y16">
        <v>52774767</v>
      </c>
      <c r="Z16">
        <v>52774767</v>
      </c>
      <c r="AA16">
        <v>4921270</v>
      </c>
      <c r="AB16">
        <v>184748000</v>
      </c>
      <c r="AC16">
        <v>176285669</v>
      </c>
      <c r="AD16">
        <v>8462233</v>
      </c>
    </row>
    <row r="17" spans="1:30" x14ac:dyDescent="0.3">
      <c r="A17" t="s">
        <v>71</v>
      </c>
      <c r="B17" t="s">
        <v>0</v>
      </c>
      <c r="C17" t="s">
        <v>231</v>
      </c>
      <c r="D17">
        <v>110</v>
      </c>
      <c r="E17">
        <v>63</v>
      </c>
      <c r="F17">
        <v>47</v>
      </c>
      <c r="G17">
        <v>36</v>
      </c>
      <c r="H17">
        <v>13</v>
      </c>
      <c r="I17">
        <v>23</v>
      </c>
      <c r="J17">
        <v>74</v>
      </c>
      <c r="K17">
        <v>50</v>
      </c>
      <c r="L17">
        <v>24</v>
      </c>
      <c r="M17">
        <v>32.700000000000003</v>
      </c>
      <c r="N17">
        <v>20.6</v>
      </c>
      <c r="O17">
        <v>48.9</v>
      </c>
      <c r="P17">
        <v>222</v>
      </c>
      <c r="Q17">
        <v>44</v>
      </c>
      <c r="R17">
        <v>906</v>
      </c>
      <c r="S17">
        <v>7631092</v>
      </c>
      <c r="T17">
        <v>129265</v>
      </c>
      <c r="U17">
        <v>17686733</v>
      </c>
      <c r="V17">
        <v>1</v>
      </c>
      <c r="W17">
        <v>1</v>
      </c>
      <c r="X17">
        <v>6</v>
      </c>
      <c r="Y17">
        <v>224679082</v>
      </c>
      <c r="Z17">
        <v>6181725</v>
      </c>
      <c r="AA17">
        <v>224679082</v>
      </c>
      <c r="AB17">
        <v>839420120</v>
      </c>
      <c r="AC17">
        <v>8143695</v>
      </c>
      <c r="AD17">
        <v>831276451</v>
      </c>
    </row>
    <row r="18" spans="1:30" x14ac:dyDescent="0.3">
      <c r="A18" t="s">
        <v>110</v>
      </c>
      <c r="B18" t="s">
        <v>0</v>
      </c>
      <c r="C18" t="s">
        <v>229</v>
      </c>
      <c r="D18">
        <v>250</v>
      </c>
      <c r="E18">
        <v>209</v>
      </c>
      <c r="F18">
        <v>41</v>
      </c>
      <c r="G18">
        <v>94</v>
      </c>
      <c r="H18">
        <v>74</v>
      </c>
      <c r="I18">
        <v>20</v>
      </c>
      <c r="J18">
        <v>156</v>
      </c>
      <c r="K18">
        <v>135</v>
      </c>
      <c r="L18">
        <v>21</v>
      </c>
      <c r="M18">
        <v>37.6</v>
      </c>
      <c r="N18">
        <v>35.4</v>
      </c>
      <c r="O18">
        <v>48.8</v>
      </c>
      <c r="P18">
        <v>418</v>
      </c>
      <c r="Q18">
        <v>397</v>
      </c>
      <c r="R18">
        <v>985</v>
      </c>
      <c r="S18">
        <v>110503</v>
      </c>
      <c r="T18">
        <v>109560</v>
      </c>
      <c r="U18">
        <v>115312</v>
      </c>
      <c r="V18">
        <v>11</v>
      </c>
      <c r="W18">
        <v>11</v>
      </c>
      <c r="X18">
        <v>14</v>
      </c>
      <c r="Y18">
        <v>17457416</v>
      </c>
      <c r="Z18">
        <v>17457416</v>
      </c>
      <c r="AA18">
        <v>3415060</v>
      </c>
      <c r="AB18">
        <v>27625750</v>
      </c>
      <c r="AC18">
        <v>22898040</v>
      </c>
      <c r="AD18">
        <v>4727792</v>
      </c>
    </row>
    <row r="19" spans="1:30" x14ac:dyDescent="0.3">
      <c r="A19" t="s">
        <v>68</v>
      </c>
      <c r="B19" t="s">
        <v>0</v>
      </c>
      <c r="C19" t="s">
        <v>229</v>
      </c>
      <c r="D19">
        <v>104</v>
      </c>
      <c r="E19">
        <v>50</v>
      </c>
      <c r="F19">
        <v>54</v>
      </c>
      <c r="G19">
        <v>30</v>
      </c>
      <c r="H19">
        <v>7</v>
      </c>
      <c r="I19">
        <v>23</v>
      </c>
      <c r="J19">
        <v>74</v>
      </c>
      <c r="K19">
        <v>43</v>
      </c>
      <c r="L19">
        <v>31</v>
      </c>
      <c r="M19">
        <v>28.8</v>
      </c>
      <c r="N19">
        <v>14</v>
      </c>
      <c r="O19">
        <v>42.6</v>
      </c>
      <c r="P19">
        <v>256</v>
      </c>
      <c r="Q19">
        <v>171</v>
      </c>
      <c r="R19">
        <v>354</v>
      </c>
      <c r="S19">
        <v>41384</v>
      </c>
      <c r="T19">
        <v>52366</v>
      </c>
      <c r="U19">
        <v>31215</v>
      </c>
      <c r="V19">
        <v>6</v>
      </c>
      <c r="W19">
        <v>6</v>
      </c>
      <c r="X19">
        <v>10</v>
      </c>
      <c r="Y19">
        <v>2573331</v>
      </c>
      <c r="Z19">
        <v>2573331</v>
      </c>
      <c r="AA19">
        <v>1531766</v>
      </c>
      <c r="AB19">
        <v>4303936</v>
      </c>
      <c r="AC19">
        <v>2618300</v>
      </c>
      <c r="AD19">
        <v>1685610</v>
      </c>
    </row>
    <row r="20" spans="1:30" x14ac:dyDescent="0.3">
      <c r="A20" t="s">
        <v>68</v>
      </c>
      <c r="B20" t="s">
        <v>0</v>
      </c>
      <c r="C20" t="s">
        <v>231</v>
      </c>
      <c r="D20">
        <v>115</v>
      </c>
      <c r="E20">
        <v>63</v>
      </c>
      <c r="F20">
        <v>52</v>
      </c>
      <c r="G20">
        <v>42</v>
      </c>
      <c r="H20">
        <v>25</v>
      </c>
      <c r="I20">
        <v>17</v>
      </c>
      <c r="J20">
        <v>73</v>
      </c>
      <c r="K20">
        <v>38</v>
      </c>
      <c r="L20">
        <v>35</v>
      </c>
      <c r="M20">
        <v>36.5</v>
      </c>
      <c r="N20">
        <v>39.700000000000003</v>
      </c>
      <c r="O20">
        <v>32.700000000000003</v>
      </c>
      <c r="P20">
        <v>428</v>
      </c>
      <c r="Q20">
        <v>569</v>
      </c>
      <c r="R20">
        <v>361</v>
      </c>
      <c r="S20">
        <v>440400</v>
      </c>
      <c r="T20">
        <v>75422</v>
      </c>
      <c r="U20">
        <v>882585</v>
      </c>
      <c r="V20">
        <v>3</v>
      </c>
      <c r="W20">
        <v>18</v>
      </c>
      <c r="X20">
        <v>3</v>
      </c>
      <c r="Y20">
        <v>40608059</v>
      </c>
      <c r="Z20">
        <v>1913968</v>
      </c>
      <c r="AA20">
        <v>40608059</v>
      </c>
      <c r="AB20">
        <v>50646000</v>
      </c>
      <c r="AC20">
        <v>4751586</v>
      </c>
      <c r="AD20">
        <v>45894420</v>
      </c>
    </row>
    <row r="21" spans="1:30" x14ac:dyDescent="0.3">
      <c r="A21" t="s">
        <v>109</v>
      </c>
      <c r="B21" t="s">
        <v>0</v>
      </c>
      <c r="C21" t="s">
        <v>229</v>
      </c>
      <c r="D21">
        <v>100</v>
      </c>
      <c r="E21">
        <v>87</v>
      </c>
      <c r="F21">
        <v>13</v>
      </c>
      <c r="G21">
        <v>37</v>
      </c>
      <c r="H21">
        <v>30</v>
      </c>
      <c r="I21">
        <v>7</v>
      </c>
      <c r="J21">
        <v>63</v>
      </c>
      <c r="K21">
        <v>57</v>
      </c>
      <c r="L21">
        <v>6</v>
      </c>
      <c r="M21">
        <v>37</v>
      </c>
      <c r="N21">
        <v>34.5</v>
      </c>
      <c r="O21">
        <v>53.8</v>
      </c>
      <c r="P21">
        <v>327</v>
      </c>
      <c r="Q21">
        <v>327</v>
      </c>
      <c r="R21">
        <v>1239</v>
      </c>
      <c r="S21">
        <v>119184</v>
      </c>
      <c r="T21">
        <v>133241</v>
      </c>
      <c r="U21">
        <v>25113</v>
      </c>
      <c r="V21">
        <v>30</v>
      </c>
      <c r="W21">
        <v>30</v>
      </c>
      <c r="X21">
        <v>69</v>
      </c>
      <c r="Y21">
        <v>9605522</v>
      </c>
      <c r="Z21">
        <v>9605522</v>
      </c>
      <c r="AA21">
        <v>91707</v>
      </c>
      <c r="AB21">
        <v>11918400</v>
      </c>
      <c r="AC21">
        <v>11591967</v>
      </c>
      <c r="AD21">
        <v>326469</v>
      </c>
    </row>
    <row r="22" spans="1:30" x14ac:dyDescent="0.3">
      <c r="A22" t="s">
        <v>33</v>
      </c>
      <c r="B22" t="s">
        <v>0</v>
      </c>
      <c r="C22" t="s">
        <v>230</v>
      </c>
      <c r="D22">
        <v>500</v>
      </c>
      <c r="E22">
        <v>335</v>
      </c>
      <c r="F22">
        <v>165</v>
      </c>
      <c r="G22">
        <v>497</v>
      </c>
      <c r="H22">
        <v>333</v>
      </c>
      <c r="I22">
        <v>164</v>
      </c>
      <c r="J22">
        <v>3</v>
      </c>
      <c r="K22">
        <v>2</v>
      </c>
      <c r="L22">
        <v>1</v>
      </c>
      <c r="M22">
        <v>99.4</v>
      </c>
      <c r="N22">
        <v>99.4</v>
      </c>
      <c r="O22">
        <v>99.4</v>
      </c>
      <c r="P22">
        <v>182384</v>
      </c>
      <c r="Q22">
        <v>206358</v>
      </c>
      <c r="R22">
        <v>142118</v>
      </c>
      <c r="S22">
        <v>1166592</v>
      </c>
      <c r="T22">
        <v>1095554</v>
      </c>
      <c r="U22">
        <v>1310821</v>
      </c>
      <c r="V22">
        <v>60</v>
      </c>
      <c r="W22">
        <v>693</v>
      </c>
      <c r="X22">
        <v>60</v>
      </c>
      <c r="Y22">
        <v>44458206</v>
      </c>
      <c r="Z22">
        <v>44458206</v>
      </c>
      <c r="AA22">
        <v>32707139</v>
      </c>
      <c r="AB22">
        <v>583296000</v>
      </c>
      <c r="AC22">
        <v>367010590</v>
      </c>
      <c r="AD22">
        <v>216285465</v>
      </c>
    </row>
    <row r="23" spans="1:30" x14ac:dyDescent="0.3">
      <c r="A23" t="s">
        <v>46</v>
      </c>
      <c r="B23" t="s">
        <v>0</v>
      </c>
      <c r="C23" t="s">
        <v>229</v>
      </c>
      <c r="D23">
        <v>309</v>
      </c>
      <c r="E23">
        <v>229</v>
      </c>
      <c r="F23">
        <v>80</v>
      </c>
      <c r="G23">
        <v>184</v>
      </c>
      <c r="H23">
        <v>120</v>
      </c>
      <c r="I23">
        <v>64</v>
      </c>
      <c r="J23">
        <v>125</v>
      </c>
      <c r="K23">
        <v>109</v>
      </c>
      <c r="L23">
        <v>16</v>
      </c>
      <c r="M23">
        <v>59.5</v>
      </c>
      <c r="N23">
        <v>52.4</v>
      </c>
      <c r="O23">
        <v>80</v>
      </c>
      <c r="P23">
        <v>2599</v>
      </c>
      <c r="Q23">
        <v>1241</v>
      </c>
      <c r="R23">
        <v>13276</v>
      </c>
      <c r="S23">
        <v>5863253</v>
      </c>
      <c r="T23">
        <v>3148888</v>
      </c>
      <c r="U23">
        <v>13633121</v>
      </c>
      <c r="V23">
        <v>3</v>
      </c>
      <c r="W23">
        <v>3</v>
      </c>
      <c r="X23">
        <v>46</v>
      </c>
      <c r="Y23">
        <v>658154681</v>
      </c>
      <c r="Z23">
        <v>521880569</v>
      </c>
      <c r="AA23">
        <v>658154681</v>
      </c>
      <c r="AB23">
        <v>1811745177</v>
      </c>
      <c r="AC23">
        <v>721095352</v>
      </c>
      <c r="AD23">
        <v>1090649680</v>
      </c>
    </row>
    <row r="24" spans="1:30" x14ac:dyDescent="0.3">
      <c r="A24" t="s">
        <v>75</v>
      </c>
      <c r="B24" t="s">
        <v>0</v>
      </c>
      <c r="C24" t="s">
        <v>229</v>
      </c>
      <c r="D24">
        <v>182</v>
      </c>
      <c r="E24">
        <v>160</v>
      </c>
      <c r="F24">
        <v>22</v>
      </c>
      <c r="G24">
        <v>69</v>
      </c>
      <c r="H24">
        <v>60</v>
      </c>
      <c r="I24">
        <v>9</v>
      </c>
      <c r="J24">
        <v>113</v>
      </c>
      <c r="K24">
        <v>100</v>
      </c>
      <c r="L24">
        <v>13</v>
      </c>
      <c r="M24">
        <v>37.9</v>
      </c>
      <c r="N24">
        <v>37.5</v>
      </c>
      <c r="O24">
        <v>40.9</v>
      </c>
      <c r="P24">
        <v>468</v>
      </c>
      <c r="Q24">
        <v>504</v>
      </c>
      <c r="R24">
        <v>304</v>
      </c>
      <c r="S24">
        <v>81366</v>
      </c>
      <c r="T24">
        <v>20761</v>
      </c>
      <c r="U24">
        <v>522131</v>
      </c>
      <c r="V24">
        <v>5</v>
      </c>
      <c r="W24">
        <v>5</v>
      </c>
      <c r="X24">
        <v>53</v>
      </c>
      <c r="Y24">
        <v>10866704</v>
      </c>
      <c r="Z24">
        <v>925294</v>
      </c>
      <c r="AA24">
        <v>10866704</v>
      </c>
      <c r="AB24">
        <v>14808612</v>
      </c>
      <c r="AC24">
        <v>3321760</v>
      </c>
      <c r="AD24">
        <v>11486882</v>
      </c>
    </row>
    <row r="25" spans="1:30" x14ac:dyDescent="0.3">
      <c r="A25" t="s">
        <v>75</v>
      </c>
      <c r="B25" t="s">
        <v>0</v>
      </c>
      <c r="C25" t="s">
        <v>230</v>
      </c>
      <c r="D25">
        <v>89</v>
      </c>
      <c r="E25">
        <v>83</v>
      </c>
      <c r="F25">
        <v>6</v>
      </c>
      <c r="G25">
        <v>78</v>
      </c>
      <c r="H25">
        <v>73</v>
      </c>
      <c r="I25">
        <v>5</v>
      </c>
      <c r="J25">
        <v>11</v>
      </c>
      <c r="K25">
        <v>10</v>
      </c>
      <c r="L25">
        <v>1</v>
      </c>
      <c r="M25">
        <v>87.6</v>
      </c>
      <c r="N25">
        <v>88</v>
      </c>
      <c r="O25">
        <v>83.3</v>
      </c>
      <c r="P25">
        <v>2173</v>
      </c>
      <c r="Q25">
        <v>2148</v>
      </c>
      <c r="R25">
        <v>267253</v>
      </c>
      <c r="S25">
        <v>1830099</v>
      </c>
      <c r="T25">
        <v>1917445</v>
      </c>
      <c r="U25">
        <v>621815</v>
      </c>
      <c r="V25">
        <v>8</v>
      </c>
      <c r="W25">
        <v>8</v>
      </c>
      <c r="X25">
        <v>295</v>
      </c>
      <c r="Y25">
        <v>64477085</v>
      </c>
      <c r="Z25">
        <v>64477085</v>
      </c>
      <c r="AA25">
        <v>2376546</v>
      </c>
      <c r="AB25">
        <v>162878811</v>
      </c>
      <c r="AC25">
        <v>159147935</v>
      </c>
      <c r="AD25">
        <v>3730890</v>
      </c>
    </row>
    <row r="26" spans="1:30" x14ac:dyDescent="0.3">
      <c r="A26" t="s">
        <v>35</v>
      </c>
      <c r="B26" t="s">
        <v>0</v>
      </c>
      <c r="C26" t="s">
        <v>230</v>
      </c>
      <c r="D26">
        <v>223</v>
      </c>
      <c r="E26">
        <v>74</v>
      </c>
      <c r="F26">
        <v>149</v>
      </c>
      <c r="G26">
        <v>203</v>
      </c>
      <c r="H26">
        <v>65</v>
      </c>
      <c r="I26">
        <v>138</v>
      </c>
      <c r="J26">
        <v>20</v>
      </c>
      <c r="K26">
        <v>9</v>
      </c>
      <c r="L26">
        <v>11</v>
      </c>
      <c r="M26">
        <v>91</v>
      </c>
      <c r="N26">
        <v>87.8</v>
      </c>
      <c r="O26">
        <v>92.6</v>
      </c>
      <c r="P26">
        <v>14229</v>
      </c>
      <c r="Q26">
        <v>11541</v>
      </c>
      <c r="R26">
        <v>14883</v>
      </c>
      <c r="S26">
        <v>2079010</v>
      </c>
      <c r="T26">
        <v>838050</v>
      </c>
      <c r="U26">
        <v>2695325</v>
      </c>
      <c r="V26">
        <v>8</v>
      </c>
      <c r="W26">
        <v>8</v>
      </c>
      <c r="X26">
        <v>15</v>
      </c>
      <c r="Y26">
        <v>180267043</v>
      </c>
      <c r="Z26">
        <v>25523604</v>
      </c>
      <c r="AA26">
        <v>180267043</v>
      </c>
      <c r="AB26">
        <v>463619230</v>
      </c>
      <c r="AC26">
        <v>62015700</v>
      </c>
      <c r="AD26">
        <v>401603425</v>
      </c>
    </row>
    <row r="27" spans="1:30" x14ac:dyDescent="0.3">
      <c r="A27" t="s">
        <v>43</v>
      </c>
      <c r="B27" t="s">
        <v>0</v>
      </c>
      <c r="C27" t="s">
        <v>231</v>
      </c>
      <c r="D27">
        <v>159</v>
      </c>
      <c r="E27">
        <v>116</v>
      </c>
      <c r="F27">
        <v>43</v>
      </c>
      <c r="G27">
        <v>103</v>
      </c>
      <c r="H27">
        <v>71</v>
      </c>
      <c r="I27">
        <v>32</v>
      </c>
      <c r="J27">
        <v>56</v>
      </c>
      <c r="K27">
        <v>45</v>
      </c>
      <c r="L27">
        <v>11</v>
      </c>
      <c r="M27">
        <v>64.8</v>
      </c>
      <c r="N27">
        <v>61.2</v>
      </c>
      <c r="O27">
        <v>74.400000000000006</v>
      </c>
      <c r="P27">
        <v>3249</v>
      </c>
      <c r="Q27">
        <v>2489</v>
      </c>
      <c r="R27">
        <v>15329</v>
      </c>
      <c r="S27">
        <v>1447562</v>
      </c>
      <c r="T27">
        <v>161117</v>
      </c>
      <c r="U27">
        <v>4917972</v>
      </c>
      <c r="V27">
        <v>15</v>
      </c>
      <c r="W27">
        <v>15</v>
      </c>
      <c r="X27">
        <v>15</v>
      </c>
      <c r="Y27">
        <v>47834330</v>
      </c>
      <c r="Z27">
        <v>4988899</v>
      </c>
      <c r="AA27">
        <v>47834330</v>
      </c>
      <c r="AB27">
        <v>230162358</v>
      </c>
      <c r="AC27">
        <v>18689572</v>
      </c>
      <c r="AD27">
        <v>211472796</v>
      </c>
    </row>
    <row r="28" spans="1:30" x14ac:dyDescent="0.3">
      <c r="A28" t="s">
        <v>114</v>
      </c>
      <c r="B28" t="s">
        <v>0</v>
      </c>
      <c r="C28" t="s">
        <v>229</v>
      </c>
      <c r="D28">
        <v>131</v>
      </c>
      <c r="E28">
        <v>49</v>
      </c>
      <c r="F28">
        <v>82</v>
      </c>
      <c r="G28">
        <v>58</v>
      </c>
      <c r="H28">
        <v>15</v>
      </c>
      <c r="I28">
        <v>43</v>
      </c>
      <c r="J28">
        <v>73</v>
      </c>
      <c r="K28">
        <v>34</v>
      </c>
      <c r="L28">
        <v>39</v>
      </c>
      <c r="M28">
        <v>44.3</v>
      </c>
      <c r="N28">
        <v>30.6</v>
      </c>
      <c r="O28">
        <v>52.4</v>
      </c>
      <c r="P28">
        <v>402</v>
      </c>
      <c r="Q28">
        <v>100</v>
      </c>
      <c r="R28">
        <v>1318</v>
      </c>
      <c r="S28">
        <v>39061</v>
      </c>
      <c r="T28">
        <v>21985</v>
      </c>
      <c r="U28">
        <v>49265</v>
      </c>
      <c r="V28">
        <v>2</v>
      </c>
      <c r="W28">
        <v>6</v>
      </c>
      <c r="X28">
        <v>2</v>
      </c>
      <c r="Y28">
        <v>594791</v>
      </c>
      <c r="Z28">
        <v>417901</v>
      </c>
      <c r="AA28">
        <v>594791</v>
      </c>
      <c r="AB28">
        <v>5116991</v>
      </c>
      <c r="AC28">
        <v>1077265</v>
      </c>
      <c r="AD28">
        <v>4039730</v>
      </c>
    </row>
    <row r="29" spans="1:30" x14ac:dyDescent="0.3">
      <c r="A29" t="s">
        <v>81</v>
      </c>
      <c r="B29" t="s">
        <v>0</v>
      </c>
      <c r="C29" t="s">
        <v>229</v>
      </c>
      <c r="D29">
        <v>121</v>
      </c>
      <c r="E29">
        <v>65</v>
      </c>
      <c r="F29">
        <v>56</v>
      </c>
      <c r="G29">
        <v>63</v>
      </c>
      <c r="H29">
        <v>27</v>
      </c>
      <c r="I29">
        <v>36</v>
      </c>
      <c r="J29">
        <v>58</v>
      </c>
      <c r="K29">
        <v>38</v>
      </c>
      <c r="L29">
        <v>20</v>
      </c>
      <c r="M29">
        <v>52.1</v>
      </c>
      <c r="N29">
        <v>41.5</v>
      </c>
      <c r="O29">
        <v>64.3</v>
      </c>
      <c r="P29">
        <v>1166</v>
      </c>
      <c r="Q29">
        <v>603</v>
      </c>
      <c r="R29">
        <v>3498</v>
      </c>
      <c r="S29">
        <v>234893</v>
      </c>
      <c r="T29">
        <v>381681</v>
      </c>
      <c r="U29">
        <v>64514</v>
      </c>
      <c r="V29">
        <v>1</v>
      </c>
      <c r="W29">
        <v>11</v>
      </c>
      <c r="X29">
        <v>1</v>
      </c>
      <c r="Y29">
        <v>11774436</v>
      </c>
      <c r="Z29">
        <v>11774436</v>
      </c>
      <c r="AA29">
        <v>571018</v>
      </c>
      <c r="AB29">
        <v>28422053</v>
      </c>
      <c r="AC29">
        <v>24809265</v>
      </c>
      <c r="AD29">
        <v>3612784</v>
      </c>
    </row>
    <row r="30" spans="1:30" x14ac:dyDescent="0.3">
      <c r="A30" t="s">
        <v>81</v>
      </c>
      <c r="B30" t="s">
        <v>0</v>
      </c>
      <c r="C30" t="s">
        <v>230</v>
      </c>
      <c r="D30">
        <v>94</v>
      </c>
      <c r="E30">
        <v>66</v>
      </c>
      <c r="F30">
        <v>28</v>
      </c>
      <c r="G30">
        <v>58</v>
      </c>
      <c r="H30">
        <v>42</v>
      </c>
      <c r="I30">
        <v>16</v>
      </c>
      <c r="J30">
        <v>36</v>
      </c>
      <c r="K30">
        <v>24</v>
      </c>
      <c r="L30">
        <v>12</v>
      </c>
      <c r="M30">
        <v>61.7</v>
      </c>
      <c r="N30">
        <v>63.6</v>
      </c>
      <c r="O30">
        <v>57.1</v>
      </c>
      <c r="P30">
        <v>10251</v>
      </c>
      <c r="Q30">
        <v>5435</v>
      </c>
      <c r="R30">
        <v>39342</v>
      </c>
      <c r="S30">
        <v>955152</v>
      </c>
      <c r="T30">
        <v>923230</v>
      </c>
      <c r="U30">
        <v>1030398</v>
      </c>
      <c r="V30">
        <v>0</v>
      </c>
      <c r="W30">
        <v>0</v>
      </c>
      <c r="X30">
        <v>1</v>
      </c>
      <c r="Y30">
        <v>11621737</v>
      </c>
      <c r="Z30">
        <v>11037050</v>
      </c>
      <c r="AA30">
        <v>11621737</v>
      </c>
      <c r="AB30">
        <v>89784288</v>
      </c>
      <c r="AC30">
        <v>60933180</v>
      </c>
      <c r="AD30">
        <v>28851144</v>
      </c>
    </row>
    <row r="31" spans="1:30" x14ac:dyDescent="0.3">
      <c r="A31" t="s">
        <v>81</v>
      </c>
      <c r="B31" t="s">
        <v>0</v>
      </c>
      <c r="C31" t="s">
        <v>231</v>
      </c>
      <c r="D31">
        <v>169</v>
      </c>
      <c r="E31">
        <v>123</v>
      </c>
      <c r="F31">
        <v>46</v>
      </c>
      <c r="G31">
        <v>120</v>
      </c>
      <c r="H31">
        <v>82</v>
      </c>
      <c r="I31">
        <v>38</v>
      </c>
      <c r="J31">
        <v>49</v>
      </c>
      <c r="K31">
        <v>41</v>
      </c>
      <c r="L31">
        <v>8</v>
      </c>
      <c r="M31">
        <v>71</v>
      </c>
      <c r="N31">
        <v>66.7</v>
      </c>
      <c r="O31">
        <v>82.6</v>
      </c>
      <c r="P31">
        <v>8367</v>
      </c>
      <c r="Q31">
        <v>5371</v>
      </c>
      <c r="R31">
        <v>21272</v>
      </c>
      <c r="S31">
        <v>2461724</v>
      </c>
      <c r="T31">
        <v>2033646</v>
      </c>
      <c r="U31">
        <v>3606367</v>
      </c>
      <c r="V31">
        <v>2</v>
      </c>
      <c r="W31">
        <v>2</v>
      </c>
      <c r="X31">
        <v>52</v>
      </c>
      <c r="Y31">
        <v>64589043</v>
      </c>
      <c r="Z31">
        <v>64589043</v>
      </c>
      <c r="AA31">
        <v>60450687</v>
      </c>
      <c r="AB31">
        <v>416031356</v>
      </c>
      <c r="AC31">
        <v>250138458</v>
      </c>
      <c r="AD31">
        <v>165892882</v>
      </c>
    </row>
    <row r="32" spans="1:30" x14ac:dyDescent="0.3">
      <c r="A32" t="s">
        <v>60</v>
      </c>
      <c r="B32" t="s">
        <v>0</v>
      </c>
      <c r="C32" t="s">
        <v>230</v>
      </c>
      <c r="D32">
        <v>500</v>
      </c>
      <c r="E32">
        <v>471</v>
      </c>
      <c r="F32">
        <v>29</v>
      </c>
      <c r="G32">
        <v>300</v>
      </c>
      <c r="H32">
        <v>288</v>
      </c>
      <c r="I32">
        <v>12</v>
      </c>
      <c r="J32">
        <v>200</v>
      </c>
      <c r="K32">
        <v>183</v>
      </c>
      <c r="L32">
        <v>17</v>
      </c>
      <c r="M32">
        <v>60</v>
      </c>
      <c r="N32">
        <v>61.1</v>
      </c>
      <c r="O32">
        <v>41.4</v>
      </c>
      <c r="P32">
        <v>2159</v>
      </c>
      <c r="Q32">
        <v>2231</v>
      </c>
      <c r="R32">
        <v>438</v>
      </c>
      <c r="S32">
        <v>530803</v>
      </c>
      <c r="T32">
        <v>553799</v>
      </c>
      <c r="U32">
        <v>157319</v>
      </c>
      <c r="V32">
        <v>2</v>
      </c>
      <c r="W32">
        <v>2</v>
      </c>
      <c r="X32">
        <v>5</v>
      </c>
      <c r="Y32">
        <v>74298038</v>
      </c>
      <c r="Z32">
        <v>74298038</v>
      </c>
      <c r="AA32">
        <v>1796374</v>
      </c>
      <c r="AB32">
        <v>265401500</v>
      </c>
      <c r="AC32">
        <v>260839329</v>
      </c>
      <c r="AD32">
        <v>4562251</v>
      </c>
    </row>
    <row r="33" spans="1:30" x14ac:dyDescent="0.3">
      <c r="A33" t="s">
        <v>90</v>
      </c>
      <c r="B33" t="s">
        <v>0</v>
      </c>
      <c r="C33" t="s">
        <v>229</v>
      </c>
      <c r="D33">
        <v>31</v>
      </c>
      <c r="E33">
        <v>14</v>
      </c>
      <c r="F33">
        <v>17</v>
      </c>
      <c r="G33">
        <v>13</v>
      </c>
      <c r="H33">
        <v>2</v>
      </c>
      <c r="I33">
        <v>11</v>
      </c>
      <c r="J33">
        <v>18</v>
      </c>
      <c r="K33">
        <v>12</v>
      </c>
      <c r="L33">
        <v>6</v>
      </c>
      <c r="M33">
        <v>41.9</v>
      </c>
      <c r="N33">
        <v>14.3</v>
      </c>
      <c r="O33">
        <v>64.7</v>
      </c>
      <c r="P33">
        <v>891</v>
      </c>
      <c r="Q33">
        <v>243</v>
      </c>
      <c r="R33">
        <v>5865</v>
      </c>
      <c r="S33">
        <v>26140</v>
      </c>
      <c r="T33">
        <v>41044</v>
      </c>
      <c r="U33">
        <v>13866</v>
      </c>
      <c r="V33">
        <v>25</v>
      </c>
      <c r="W33">
        <v>25</v>
      </c>
      <c r="X33">
        <v>31</v>
      </c>
      <c r="Y33">
        <v>565071</v>
      </c>
      <c r="Z33">
        <v>565071</v>
      </c>
      <c r="AA33">
        <v>95028</v>
      </c>
      <c r="AB33">
        <v>810340</v>
      </c>
      <c r="AC33">
        <v>574616</v>
      </c>
      <c r="AD33">
        <v>235722</v>
      </c>
    </row>
    <row r="34" spans="1:30" x14ac:dyDescent="0.3">
      <c r="A34" t="s">
        <v>89</v>
      </c>
      <c r="B34" t="s">
        <v>0</v>
      </c>
      <c r="C34" t="s">
        <v>229</v>
      </c>
      <c r="D34">
        <v>13</v>
      </c>
      <c r="E34">
        <v>5</v>
      </c>
      <c r="F34">
        <v>8</v>
      </c>
      <c r="G34">
        <v>6</v>
      </c>
      <c r="H34">
        <v>2</v>
      </c>
      <c r="I34">
        <v>4</v>
      </c>
      <c r="J34">
        <v>7</v>
      </c>
      <c r="K34">
        <v>3</v>
      </c>
      <c r="L34">
        <v>4</v>
      </c>
      <c r="M34">
        <v>46.2</v>
      </c>
      <c r="N34">
        <v>40</v>
      </c>
      <c r="O34">
        <v>50</v>
      </c>
      <c r="P34">
        <v>89</v>
      </c>
      <c r="Q34">
        <v>89</v>
      </c>
      <c r="R34">
        <v>700</v>
      </c>
      <c r="S34">
        <v>5090</v>
      </c>
      <c r="T34">
        <v>1922</v>
      </c>
      <c r="U34">
        <v>7071</v>
      </c>
      <c r="V34">
        <v>22</v>
      </c>
      <c r="W34">
        <v>22</v>
      </c>
      <c r="X34">
        <v>25</v>
      </c>
      <c r="Y34">
        <v>27382</v>
      </c>
      <c r="Z34">
        <v>5550</v>
      </c>
      <c r="AA34">
        <v>27382</v>
      </c>
      <c r="AB34">
        <v>66170</v>
      </c>
      <c r="AC34">
        <v>9610</v>
      </c>
      <c r="AD34">
        <v>56568</v>
      </c>
    </row>
    <row r="35" spans="1:30" x14ac:dyDescent="0.3">
      <c r="A35" t="s">
        <v>32</v>
      </c>
      <c r="B35" t="s">
        <v>0</v>
      </c>
      <c r="C35" t="s">
        <v>230</v>
      </c>
      <c r="D35">
        <v>500</v>
      </c>
      <c r="E35">
        <v>457</v>
      </c>
      <c r="F35">
        <v>43</v>
      </c>
      <c r="G35">
        <v>471</v>
      </c>
      <c r="H35">
        <v>431</v>
      </c>
      <c r="I35">
        <v>40</v>
      </c>
      <c r="J35">
        <v>29</v>
      </c>
      <c r="K35">
        <v>26</v>
      </c>
      <c r="L35">
        <v>3</v>
      </c>
      <c r="M35">
        <v>94.2</v>
      </c>
      <c r="N35">
        <v>94.3</v>
      </c>
      <c r="O35">
        <v>93</v>
      </c>
      <c r="P35">
        <v>16463</v>
      </c>
      <c r="Q35">
        <v>14935</v>
      </c>
      <c r="R35">
        <v>59537</v>
      </c>
      <c r="S35">
        <v>1178102</v>
      </c>
      <c r="T35">
        <v>1247822</v>
      </c>
      <c r="U35">
        <v>437119</v>
      </c>
      <c r="V35">
        <v>3</v>
      </c>
      <c r="W35">
        <v>3</v>
      </c>
      <c r="X35">
        <v>279</v>
      </c>
      <c r="Y35">
        <v>320362392</v>
      </c>
      <c r="Z35">
        <v>320362392</v>
      </c>
      <c r="AA35">
        <v>6242674</v>
      </c>
      <c r="AB35">
        <v>589051000</v>
      </c>
      <c r="AC35">
        <v>570254654</v>
      </c>
      <c r="AD35">
        <v>18796117</v>
      </c>
    </row>
    <row r="36" spans="1:30" x14ac:dyDescent="0.3">
      <c r="A36" t="s">
        <v>66</v>
      </c>
      <c r="B36" t="s">
        <v>0</v>
      </c>
      <c r="C36" t="s">
        <v>230</v>
      </c>
      <c r="D36">
        <v>500</v>
      </c>
      <c r="E36">
        <v>429</v>
      </c>
      <c r="F36">
        <v>71</v>
      </c>
      <c r="G36">
        <v>475</v>
      </c>
      <c r="H36">
        <v>408</v>
      </c>
      <c r="I36">
        <v>67</v>
      </c>
      <c r="J36">
        <v>25</v>
      </c>
      <c r="K36">
        <v>21</v>
      </c>
      <c r="L36">
        <v>4</v>
      </c>
      <c r="M36">
        <v>95</v>
      </c>
      <c r="N36">
        <v>95.1</v>
      </c>
      <c r="O36">
        <v>94.4</v>
      </c>
      <c r="P36">
        <v>23008</v>
      </c>
      <c r="Q36">
        <v>22484</v>
      </c>
      <c r="R36">
        <v>25346</v>
      </c>
      <c r="S36">
        <v>267681</v>
      </c>
      <c r="T36">
        <v>267380</v>
      </c>
      <c r="U36">
        <v>269499</v>
      </c>
      <c r="V36">
        <v>1</v>
      </c>
      <c r="W36">
        <v>1</v>
      </c>
      <c r="X36">
        <v>43</v>
      </c>
      <c r="Y36">
        <v>9692941</v>
      </c>
      <c r="Z36">
        <v>9562653</v>
      </c>
      <c r="AA36">
        <v>9692941</v>
      </c>
      <c r="AB36">
        <v>133840500</v>
      </c>
      <c r="AC36">
        <v>114706020</v>
      </c>
      <c r="AD36">
        <v>19134429</v>
      </c>
    </row>
    <row r="37" spans="1:30" x14ac:dyDescent="0.3">
      <c r="A37" t="s">
        <v>79</v>
      </c>
      <c r="B37" t="s">
        <v>0</v>
      </c>
      <c r="C37" t="s">
        <v>230</v>
      </c>
      <c r="D37">
        <v>1</v>
      </c>
      <c r="E37">
        <v>1</v>
      </c>
      <c r="F37">
        <v>0</v>
      </c>
      <c r="G37">
        <v>0</v>
      </c>
      <c r="H37">
        <v>0</v>
      </c>
      <c r="J37">
        <v>1</v>
      </c>
      <c r="K37">
        <v>1</v>
      </c>
      <c r="M37">
        <v>0</v>
      </c>
      <c r="N37">
        <v>0</v>
      </c>
      <c r="P37">
        <v>79</v>
      </c>
      <c r="Q37">
        <v>79</v>
      </c>
      <c r="S37">
        <v>79</v>
      </c>
      <c r="T37">
        <v>79</v>
      </c>
      <c r="V37">
        <v>79</v>
      </c>
      <c r="W37">
        <v>79</v>
      </c>
      <c r="Y37">
        <v>79</v>
      </c>
      <c r="Z37">
        <v>79</v>
      </c>
      <c r="AB37">
        <v>79</v>
      </c>
      <c r="AC37">
        <v>79</v>
      </c>
      <c r="AD37">
        <v>0</v>
      </c>
    </row>
    <row r="38" spans="1:30" x14ac:dyDescent="0.3">
      <c r="A38" t="s">
        <v>78</v>
      </c>
      <c r="B38" t="s">
        <v>0</v>
      </c>
      <c r="C38" t="s">
        <v>229</v>
      </c>
      <c r="D38">
        <v>496</v>
      </c>
      <c r="E38">
        <v>344</v>
      </c>
      <c r="F38">
        <v>152</v>
      </c>
      <c r="G38">
        <v>109</v>
      </c>
      <c r="H38">
        <v>74</v>
      </c>
      <c r="I38">
        <v>35</v>
      </c>
      <c r="J38">
        <v>387</v>
      </c>
      <c r="K38">
        <v>270</v>
      </c>
      <c r="L38">
        <v>117</v>
      </c>
      <c r="M38">
        <v>22</v>
      </c>
      <c r="N38">
        <v>21.5</v>
      </c>
      <c r="O38">
        <v>23</v>
      </c>
      <c r="P38">
        <v>87</v>
      </c>
      <c r="Q38">
        <v>99</v>
      </c>
      <c r="R38">
        <v>57</v>
      </c>
      <c r="S38">
        <v>20234</v>
      </c>
      <c r="T38">
        <v>9965</v>
      </c>
      <c r="U38">
        <v>43475</v>
      </c>
      <c r="V38">
        <v>0</v>
      </c>
      <c r="W38">
        <v>0</v>
      </c>
      <c r="X38">
        <v>0</v>
      </c>
      <c r="Y38">
        <v>1256513</v>
      </c>
      <c r="Z38">
        <v>569050</v>
      </c>
      <c r="AA38">
        <v>1256513</v>
      </c>
      <c r="AB38">
        <v>10036064</v>
      </c>
      <c r="AC38">
        <v>3427960</v>
      </c>
      <c r="AD38">
        <v>6608200</v>
      </c>
    </row>
    <row r="39" spans="1:30" x14ac:dyDescent="0.3">
      <c r="A39" t="s">
        <v>65</v>
      </c>
      <c r="B39" t="s">
        <v>0</v>
      </c>
      <c r="C39" t="s">
        <v>230</v>
      </c>
      <c r="D39">
        <v>500</v>
      </c>
      <c r="E39">
        <v>349</v>
      </c>
      <c r="F39">
        <v>151</v>
      </c>
      <c r="G39">
        <v>467</v>
      </c>
      <c r="H39">
        <v>323</v>
      </c>
      <c r="I39">
        <v>144</v>
      </c>
      <c r="J39">
        <v>33</v>
      </c>
      <c r="K39">
        <v>26</v>
      </c>
      <c r="L39">
        <v>7</v>
      </c>
      <c r="M39">
        <v>93.4</v>
      </c>
      <c r="N39">
        <v>92.6</v>
      </c>
      <c r="O39">
        <v>95.4</v>
      </c>
      <c r="P39">
        <v>4576773</v>
      </c>
      <c r="Q39">
        <v>6690366</v>
      </c>
      <c r="R39">
        <v>3415505</v>
      </c>
      <c r="S39">
        <v>15714191</v>
      </c>
      <c r="T39">
        <v>19714976</v>
      </c>
      <c r="U39">
        <v>6467343</v>
      </c>
      <c r="V39">
        <v>1</v>
      </c>
      <c r="W39">
        <v>1</v>
      </c>
      <c r="X39">
        <v>1</v>
      </c>
      <c r="Y39">
        <v>431421932</v>
      </c>
      <c r="Z39">
        <v>431421932</v>
      </c>
      <c r="AA39">
        <v>91302607</v>
      </c>
      <c r="AB39">
        <v>7857095500</v>
      </c>
      <c r="AC39">
        <v>6880526624</v>
      </c>
      <c r="AD39">
        <v>976568793</v>
      </c>
    </row>
    <row r="40" spans="1:30" x14ac:dyDescent="0.3">
      <c r="A40" t="s">
        <v>97</v>
      </c>
      <c r="B40" t="s">
        <v>0</v>
      </c>
      <c r="C40" t="s">
        <v>229</v>
      </c>
      <c r="D40">
        <v>500</v>
      </c>
      <c r="E40">
        <v>155</v>
      </c>
      <c r="F40">
        <v>345</v>
      </c>
      <c r="G40">
        <v>493</v>
      </c>
      <c r="H40">
        <v>148</v>
      </c>
      <c r="I40">
        <v>345</v>
      </c>
      <c r="J40">
        <v>7</v>
      </c>
      <c r="K40">
        <v>7</v>
      </c>
      <c r="L40">
        <v>0</v>
      </c>
      <c r="M40">
        <v>98.6</v>
      </c>
      <c r="N40">
        <v>95.5</v>
      </c>
      <c r="O40">
        <v>100</v>
      </c>
      <c r="P40">
        <v>68298</v>
      </c>
      <c r="Q40">
        <v>23754</v>
      </c>
      <c r="R40">
        <v>114944</v>
      </c>
      <c r="S40">
        <v>1173369</v>
      </c>
      <c r="T40">
        <v>792471</v>
      </c>
      <c r="U40">
        <v>1344497</v>
      </c>
      <c r="V40">
        <v>17</v>
      </c>
      <c r="W40">
        <v>17</v>
      </c>
      <c r="X40">
        <v>1610</v>
      </c>
      <c r="Y40">
        <v>103792460</v>
      </c>
      <c r="Z40">
        <v>103792460</v>
      </c>
      <c r="AA40">
        <v>82221604</v>
      </c>
      <c r="AB40">
        <v>586684500</v>
      </c>
      <c r="AC40">
        <v>122833005</v>
      </c>
      <c r="AD40">
        <v>463851465</v>
      </c>
    </row>
    <row r="41" spans="1:30" x14ac:dyDescent="0.3">
      <c r="A41" t="s">
        <v>97</v>
      </c>
      <c r="B41" t="s">
        <v>0</v>
      </c>
      <c r="C41" t="s">
        <v>230</v>
      </c>
      <c r="D41">
        <v>300</v>
      </c>
      <c r="E41">
        <v>186</v>
      </c>
      <c r="F41">
        <v>114</v>
      </c>
      <c r="G41">
        <v>265</v>
      </c>
      <c r="H41">
        <v>163</v>
      </c>
      <c r="I41">
        <v>102</v>
      </c>
      <c r="J41">
        <v>35</v>
      </c>
      <c r="K41">
        <v>23</v>
      </c>
      <c r="L41">
        <v>12</v>
      </c>
      <c r="M41">
        <v>88.3</v>
      </c>
      <c r="N41">
        <v>87.6</v>
      </c>
      <c r="O41">
        <v>89.5</v>
      </c>
      <c r="P41">
        <v>53012</v>
      </c>
      <c r="Q41">
        <v>39835</v>
      </c>
      <c r="R41">
        <v>73036</v>
      </c>
      <c r="S41">
        <v>668284</v>
      </c>
      <c r="T41">
        <v>491755</v>
      </c>
      <c r="U41">
        <v>956303</v>
      </c>
      <c r="V41">
        <v>0</v>
      </c>
      <c r="W41">
        <v>0</v>
      </c>
      <c r="X41">
        <v>0</v>
      </c>
      <c r="Y41">
        <v>44923162</v>
      </c>
      <c r="Z41">
        <v>5265440</v>
      </c>
      <c r="AA41">
        <v>44923162</v>
      </c>
      <c r="AB41">
        <v>200485200</v>
      </c>
      <c r="AC41">
        <v>91466430</v>
      </c>
      <c r="AD41">
        <v>109018542</v>
      </c>
    </row>
    <row r="42" spans="1:30" x14ac:dyDescent="0.3">
      <c r="A42" t="s">
        <v>97</v>
      </c>
      <c r="B42" t="s">
        <v>0</v>
      </c>
      <c r="C42" t="s">
        <v>231</v>
      </c>
      <c r="D42">
        <v>352</v>
      </c>
      <c r="E42">
        <v>109</v>
      </c>
      <c r="F42">
        <v>243</v>
      </c>
      <c r="G42">
        <v>289</v>
      </c>
      <c r="H42">
        <v>83</v>
      </c>
      <c r="I42">
        <v>206</v>
      </c>
      <c r="J42">
        <v>63</v>
      </c>
      <c r="K42">
        <v>26</v>
      </c>
      <c r="L42">
        <v>37</v>
      </c>
      <c r="M42">
        <v>82.1</v>
      </c>
      <c r="N42">
        <v>76.099999999999994</v>
      </c>
      <c r="O42">
        <v>84.8</v>
      </c>
      <c r="P42">
        <v>3493</v>
      </c>
      <c r="Q42">
        <v>2139</v>
      </c>
      <c r="R42">
        <v>5147</v>
      </c>
      <c r="S42">
        <v>282699</v>
      </c>
      <c r="T42">
        <v>27003</v>
      </c>
      <c r="U42">
        <v>397394</v>
      </c>
      <c r="V42">
        <v>17</v>
      </c>
      <c r="W42">
        <v>54</v>
      </c>
      <c r="X42">
        <v>17</v>
      </c>
      <c r="Y42">
        <v>44923162</v>
      </c>
      <c r="Z42">
        <v>2282649</v>
      </c>
      <c r="AA42">
        <v>44923162</v>
      </c>
      <c r="AB42">
        <v>99510048</v>
      </c>
      <c r="AC42">
        <v>2943327</v>
      </c>
      <c r="AD42">
        <v>96566742</v>
      </c>
    </row>
    <row r="43" spans="1:30" x14ac:dyDescent="0.3">
      <c r="A43" t="s">
        <v>103</v>
      </c>
      <c r="B43" t="s">
        <v>0</v>
      </c>
      <c r="C43" t="s">
        <v>231</v>
      </c>
      <c r="D43">
        <v>84</v>
      </c>
      <c r="E43">
        <v>47</v>
      </c>
      <c r="F43">
        <v>37</v>
      </c>
      <c r="G43">
        <v>60</v>
      </c>
      <c r="H43">
        <v>32</v>
      </c>
      <c r="I43">
        <v>28</v>
      </c>
      <c r="J43">
        <v>24</v>
      </c>
      <c r="K43">
        <v>15</v>
      </c>
      <c r="L43">
        <v>9</v>
      </c>
      <c r="M43">
        <v>71.400000000000006</v>
      </c>
      <c r="N43">
        <v>68.099999999999994</v>
      </c>
      <c r="O43">
        <v>75.7</v>
      </c>
      <c r="P43">
        <v>2443</v>
      </c>
      <c r="Q43">
        <v>1806</v>
      </c>
      <c r="R43">
        <v>3882</v>
      </c>
      <c r="S43">
        <v>66010</v>
      </c>
      <c r="T43">
        <v>86370</v>
      </c>
      <c r="U43">
        <v>40146</v>
      </c>
      <c r="V43">
        <v>27</v>
      </c>
      <c r="W43">
        <v>27</v>
      </c>
      <c r="X43">
        <v>93</v>
      </c>
      <c r="Y43">
        <v>2699639</v>
      </c>
      <c r="Z43">
        <v>2699639</v>
      </c>
      <c r="AA43">
        <v>264411</v>
      </c>
      <c r="AB43">
        <v>5544840</v>
      </c>
      <c r="AC43">
        <v>4059390</v>
      </c>
      <c r="AD43">
        <v>1485402</v>
      </c>
    </row>
    <row r="44" spans="1:30" x14ac:dyDescent="0.3">
      <c r="A44" t="s">
        <v>74</v>
      </c>
      <c r="B44" t="s">
        <v>0</v>
      </c>
      <c r="C44" t="s">
        <v>229</v>
      </c>
      <c r="D44">
        <v>1</v>
      </c>
      <c r="E44">
        <v>1</v>
      </c>
      <c r="F44">
        <v>0</v>
      </c>
      <c r="G44">
        <v>0</v>
      </c>
      <c r="H44">
        <v>0</v>
      </c>
      <c r="J44">
        <v>1</v>
      </c>
      <c r="K44">
        <v>1</v>
      </c>
      <c r="M44">
        <v>0</v>
      </c>
      <c r="N44">
        <v>0</v>
      </c>
      <c r="P44">
        <v>143</v>
      </c>
      <c r="Q44">
        <v>143</v>
      </c>
      <c r="S44">
        <v>143</v>
      </c>
      <c r="T44">
        <v>143</v>
      </c>
      <c r="V44">
        <v>143</v>
      </c>
      <c r="W44">
        <v>143</v>
      </c>
      <c r="Y44">
        <v>143</v>
      </c>
      <c r="Z44">
        <v>143</v>
      </c>
      <c r="AB44">
        <v>143</v>
      </c>
      <c r="AC44">
        <v>143</v>
      </c>
      <c r="AD44">
        <v>0</v>
      </c>
    </row>
    <row r="45" spans="1:30" x14ac:dyDescent="0.3">
      <c r="A45" t="s">
        <v>70</v>
      </c>
      <c r="B45" t="s">
        <v>0</v>
      </c>
      <c r="C45" t="s">
        <v>230</v>
      </c>
      <c r="D45">
        <v>351</v>
      </c>
      <c r="E45">
        <v>266</v>
      </c>
      <c r="F45">
        <v>85</v>
      </c>
      <c r="G45">
        <v>267</v>
      </c>
      <c r="H45">
        <v>202</v>
      </c>
      <c r="I45">
        <v>65</v>
      </c>
      <c r="J45">
        <v>84</v>
      </c>
      <c r="K45">
        <v>64</v>
      </c>
      <c r="L45">
        <v>20</v>
      </c>
      <c r="M45">
        <v>76.099999999999994</v>
      </c>
      <c r="N45">
        <v>75.900000000000006</v>
      </c>
      <c r="O45">
        <v>76.5</v>
      </c>
      <c r="P45">
        <v>1609</v>
      </c>
      <c r="Q45">
        <v>1792</v>
      </c>
      <c r="R45">
        <v>1470</v>
      </c>
      <c r="S45">
        <v>148036</v>
      </c>
      <c r="T45">
        <v>191099</v>
      </c>
      <c r="U45">
        <v>13274</v>
      </c>
      <c r="V45">
        <v>0</v>
      </c>
      <c r="W45">
        <v>0</v>
      </c>
      <c r="X45">
        <v>16</v>
      </c>
      <c r="Y45">
        <v>22949328</v>
      </c>
      <c r="Z45">
        <v>22949328</v>
      </c>
      <c r="AA45">
        <v>573243</v>
      </c>
      <c r="AB45">
        <v>51960636</v>
      </c>
      <c r="AC45">
        <v>50832334</v>
      </c>
      <c r="AD45">
        <v>1128290</v>
      </c>
    </row>
    <row r="46" spans="1:30" x14ac:dyDescent="0.3">
      <c r="A46" t="s">
        <v>84</v>
      </c>
      <c r="B46" t="s">
        <v>0</v>
      </c>
      <c r="C46" t="s">
        <v>229</v>
      </c>
      <c r="D46">
        <v>140</v>
      </c>
      <c r="E46">
        <v>71</v>
      </c>
      <c r="F46">
        <v>69</v>
      </c>
      <c r="G46">
        <v>43</v>
      </c>
      <c r="H46">
        <v>19</v>
      </c>
      <c r="I46">
        <v>24</v>
      </c>
      <c r="J46">
        <v>97</v>
      </c>
      <c r="K46">
        <v>52</v>
      </c>
      <c r="L46">
        <v>45</v>
      </c>
      <c r="M46">
        <v>30.7</v>
      </c>
      <c r="N46">
        <v>26.8</v>
      </c>
      <c r="O46">
        <v>34.799999999999997</v>
      </c>
      <c r="P46">
        <v>225</v>
      </c>
      <c r="Q46">
        <v>241</v>
      </c>
      <c r="R46">
        <v>180</v>
      </c>
      <c r="S46">
        <v>8524</v>
      </c>
      <c r="T46">
        <v>9640</v>
      </c>
      <c r="U46">
        <v>7376</v>
      </c>
      <c r="V46">
        <v>5</v>
      </c>
      <c r="W46">
        <v>6</v>
      </c>
      <c r="X46">
        <v>5</v>
      </c>
      <c r="Y46">
        <v>459596</v>
      </c>
      <c r="Z46">
        <v>459596</v>
      </c>
      <c r="AA46">
        <v>188069</v>
      </c>
      <c r="AB46">
        <v>1193360</v>
      </c>
      <c r="AC46">
        <v>684440</v>
      </c>
      <c r="AD46">
        <v>508944</v>
      </c>
    </row>
    <row r="47" spans="1:30" x14ac:dyDescent="0.3">
      <c r="A47" t="s">
        <v>106</v>
      </c>
      <c r="B47" t="s">
        <v>0</v>
      </c>
      <c r="C47" t="s">
        <v>229</v>
      </c>
      <c r="D47">
        <v>103</v>
      </c>
      <c r="E47">
        <v>73</v>
      </c>
      <c r="F47">
        <v>30</v>
      </c>
      <c r="G47">
        <v>58</v>
      </c>
      <c r="H47">
        <v>43</v>
      </c>
      <c r="I47">
        <v>15</v>
      </c>
      <c r="J47">
        <v>45</v>
      </c>
      <c r="K47">
        <v>30</v>
      </c>
      <c r="L47">
        <v>15</v>
      </c>
      <c r="M47">
        <v>56.3</v>
      </c>
      <c r="N47">
        <v>58.9</v>
      </c>
      <c r="O47">
        <v>50</v>
      </c>
      <c r="P47">
        <v>1948</v>
      </c>
      <c r="Q47">
        <v>2089</v>
      </c>
      <c r="R47">
        <v>813</v>
      </c>
      <c r="S47">
        <v>191952</v>
      </c>
      <c r="T47">
        <v>41106</v>
      </c>
      <c r="U47">
        <v>559012</v>
      </c>
      <c r="V47">
        <v>19</v>
      </c>
      <c r="W47">
        <v>19</v>
      </c>
      <c r="X47">
        <v>40</v>
      </c>
      <c r="Y47">
        <v>10675037</v>
      </c>
      <c r="Z47">
        <v>1041548</v>
      </c>
      <c r="AA47">
        <v>10675037</v>
      </c>
      <c r="AB47">
        <v>19771056</v>
      </c>
      <c r="AC47">
        <v>3000738</v>
      </c>
      <c r="AD47">
        <v>16770360</v>
      </c>
    </row>
    <row r="48" spans="1:30" x14ac:dyDescent="0.3">
      <c r="A48" t="s">
        <v>73</v>
      </c>
      <c r="B48" t="s">
        <v>0</v>
      </c>
      <c r="C48" t="s">
        <v>229</v>
      </c>
      <c r="D48">
        <v>200</v>
      </c>
      <c r="E48">
        <v>185</v>
      </c>
      <c r="F48">
        <v>15</v>
      </c>
      <c r="G48">
        <v>29</v>
      </c>
      <c r="H48">
        <v>27</v>
      </c>
      <c r="I48">
        <v>2</v>
      </c>
      <c r="J48">
        <v>171</v>
      </c>
      <c r="K48">
        <v>158</v>
      </c>
      <c r="L48">
        <v>13</v>
      </c>
      <c r="M48">
        <v>14.5</v>
      </c>
      <c r="N48">
        <v>14.6</v>
      </c>
      <c r="O48">
        <v>13.3</v>
      </c>
      <c r="P48">
        <v>81</v>
      </c>
      <c r="Q48">
        <v>82</v>
      </c>
      <c r="R48">
        <v>42</v>
      </c>
      <c r="S48">
        <v>61846</v>
      </c>
      <c r="T48">
        <v>66686</v>
      </c>
      <c r="U48">
        <v>2147</v>
      </c>
      <c r="V48">
        <v>1</v>
      </c>
      <c r="W48">
        <v>1</v>
      </c>
      <c r="X48">
        <v>5</v>
      </c>
      <c r="Y48">
        <v>9874980</v>
      </c>
      <c r="Z48">
        <v>9874980</v>
      </c>
      <c r="AA48">
        <v>19578</v>
      </c>
      <c r="AB48">
        <v>12369200</v>
      </c>
      <c r="AC48">
        <v>12336910</v>
      </c>
      <c r="AD48">
        <v>32205</v>
      </c>
    </row>
    <row r="49" spans="1:30" x14ac:dyDescent="0.3">
      <c r="A49" t="s">
        <v>99</v>
      </c>
      <c r="B49" t="s">
        <v>0</v>
      </c>
      <c r="C49" t="s">
        <v>229</v>
      </c>
      <c r="D49">
        <v>203</v>
      </c>
      <c r="E49">
        <v>116</v>
      </c>
      <c r="F49">
        <v>87</v>
      </c>
      <c r="G49">
        <v>48</v>
      </c>
      <c r="H49">
        <v>25</v>
      </c>
      <c r="I49">
        <v>23</v>
      </c>
      <c r="J49">
        <v>155</v>
      </c>
      <c r="K49">
        <v>91</v>
      </c>
      <c r="L49">
        <v>64</v>
      </c>
      <c r="M49">
        <v>23.6</v>
      </c>
      <c r="N49">
        <v>21.6</v>
      </c>
      <c r="O49">
        <v>26.4</v>
      </c>
      <c r="P49">
        <v>147</v>
      </c>
      <c r="Q49">
        <v>131</v>
      </c>
      <c r="R49">
        <v>158</v>
      </c>
      <c r="S49">
        <v>29513</v>
      </c>
      <c r="T49">
        <v>6561</v>
      </c>
      <c r="U49">
        <v>60117</v>
      </c>
      <c r="V49">
        <v>0</v>
      </c>
      <c r="W49">
        <v>0</v>
      </c>
      <c r="X49">
        <v>0</v>
      </c>
      <c r="Y49">
        <v>3208754</v>
      </c>
      <c r="Z49">
        <v>174893</v>
      </c>
      <c r="AA49">
        <v>3208754</v>
      </c>
      <c r="AB49">
        <v>5991139</v>
      </c>
      <c r="AC49">
        <v>761076</v>
      </c>
      <c r="AD49">
        <v>5230179</v>
      </c>
    </row>
    <row r="50" spans="1:30" x14ac:dyDescent="0.3">
      <c r="A50" t="s">
        <v>99</v>
      </c>
      <c r="B50" t="s">
        <v>0</v>
      </c>
      <c r="C50" t="s">
        <v>230</v>
      </c>
      <c r="D50">
        <v>242</v>
      </c>
      <c r="E50">
        <v>145</v>
      </c>
      <c r="F50">
        <v>97</v>
      </c>
      <c r="G50">
        <v>201</v>
      </c>
      <c r="H50">
        <v>118</v>
      </c>
      <c r="I50">
        <v>83</v>
      </c>
      <c r="J50">
        <v>41</v>
      </c>
      <c r="K50">
        <v>27</v>
      </c>
      <c r="L50">
        <v>14</v>
      </c>
      <c r="M50">
        <v>83.1</v>
      </c>
      <c r="N50">
        <v>81.400000000000006</v>
      </c>
      <c r="O50">
        <v>85.6</v>
      </c>
      <c r="P50">
        <v>7225</v>
      </c>
      <c r="Q50">
        <v>6907</v>
      </c>
      <c r="R50">
        <v>7372</v>
      </c>
      <c r="S50">
        <v>203571</v>
      </c>
      <c r="T50">
        <v>310466</v>
      </c>
      <c r="U50">
        <v>43781</v>
      </c>
      <c r="V50">
        <v>1</v>
      </c>
      <c r="W50">
        <v>1</v>
      </c>
      <c r="X50">
        <v>9</v>
      </c>
      <c r="Y50">
        <v>9128283</v>
      </c>
      <c r="Z50">
        <v>9128283</v>
      </c>
      <c r="AA50">
        <v>1100188</v>
      </c>
      <c r="AB50">
        <v>49264182</v>
      </c>
      <c r="AC50">
        <v>45017570</v>
      </c>
      <c r="AD50">
        <v>4246757</v>
      </c>
    </row>
    <row r="51" spans="1:30" x14ac:dyDescent="0.3">
      <c r="A51" t="s">
        <v>99</v>
      </c>
      <c r="B51" t="s">
        <v>0</v>
      </c>
      <c r="C51" t="s">
        <v>231</v>
      </c>
      <c r="D51">
        <v>275</v>
      </c>
      <c r="E51">
        <v>167</v>
      </c>
      <c r="F51">
        <v>108</v>
      </c>
      <c r="G51">
        <v>87</v>
      </c>
      <c r="H51">
        <v>36</v>
      </c>
      <c r="I51">
        <v>51</v>
      </c>
      <c r="J51">
        <v>188</v>
      </c>
      <c r="K51">
        <v>131</v>
      </c>
      <c r="L51">
        <v>57</v>
      </c>
      <c r="M51">
        <v>31.6</v>
      </c>
      <c r="N51">
        <v>21.6</v>
      </c>
      <c r="O51">
        <v>47.2</v>
      </c>
      <c r="P51">
        <v>262</v>
      </c>
      <c r="Q51">
        <v>140</v>
      </c>
      <c r="R51">
        <v>807</v>
      </c>
      <c r="S51">
        <v>25275</v>
      </c>
      <c r="T51">
        <v>16597</v>
      </c>
      <c r="U51">
        <v>38695</v>
      </c>
      <c r="V51">
        <v>0</v>
      </c>
      <c r="W51">
        <v>2</v>
      </c>
      <c r="X51">
        <v>0</v>
      </c>
      <c r="Y51">
        <v>1385445</v>
      </c>
      <c r="Z51">
        <v>860646</v>
      </c>
      <c r="AA51">
        <v>1385445</v>
      </c>
      <c r="AB51">
        <v>6950625</v>
      </c>
      <c r="AC51">
        <v>2771699</v>
      </c>
      <c r="AD51">
        <v>4179060</v>
      </c>
    </row>
    <row r="52" spans="1:30" x14ac:dyDescent="0.3">
      <c r="A52" t="s">
        <v>31</v>
      </c>
      <c r="B52" t="s">
        <v>0</v>
      </c>
      <c r="C52" t="s">
        <v>230</v>
      </c>
      <c r="D52">
        <v>500</v>
      </c>
      <c r="E52">
        <v>443</v>
      </c>
      <c r="F52">
        <v>57</v>
      </c>
      <c r="G52">
        <v>473</v>
      </c>
      <c r="H52">
        <v>416</v>
      </c>
      <c r="I52">
        <v>57</v>
      </c>
      <c r="J52">
        <v>27</v>
      </c>
      <c r="K52">
        <v>27</v>
      </c>
      <c r="L52">
        <v>0</v>
      </c>
      <c r="M52">
        <v>94.6</v>
      </c>
      <c r="N52">
        <v>93.9</v>
      </c>
      <c r="O52">
        <v>100</v>
      </c>
      <c r="P52">
        <v>176065</v>
      </c>
      <c r="Q52">
        <v>208015</v>
      </c>
      <c r="R52">
        <v>110008</v>
      </c>
      <c r="S52">
        <v>2891349</v>
      </c>
      <c r="T52">
        <v>3120329</v>
      </c>
      <c r="U52">
        <v>1111731</v>
      </c>
      <c r="V52">
        <v>13</v>
      </c>
      <c r="W52">
        <v>13</v>
      </c>
      <c r="X52">
        <v>3727</v>
      </c>
      <c r="Y52">
        <v>91954667</v>
      </c>
      <c r="Z52">
        <v>91954667</v>
      </c>
      <c r="AA52">
        <v>10364122</v>
      </c>
      <c r="AB52">
        <v>1445674500</v>
      </c>
      <c r="AC52">
        <v>1382305747</v>
      </c>
      <c r="AD52">
        <v>63368667</v>
      </c>
    </row>
    <row r="53" spans="1:30" x14ac:dyDescent="0.3">
      <c r="A53" t="s">
        <v>88</v>
      </c>
      <c r="B53" t="s">
        <v>0</v>
      </c>
      <c r="C53" t="s">
        <v>229</v>
      </c>
      <c r="D53">
        <v>500</v>
      </c>
      <c r="E53">
        <v>250</v>
      </c>
      <c r="F53">
        <v>250</v>
      </c>
      <c r="G53">
        <v>148</v>
      </c>
      <c r="H53">
        <v>37</v>
      </c>
      <c r="I53">
        <v>111</v>
      </c>
      <c r="J53">
        <v>352</v>
      </c>
      <c r="K53">
        <v>213</v>
      </c>
      <c r="L53">
        <v>139</v>
      </c>
      <c r="M53">
        <v>29.6</v>
      </c>
      <c r="N53">
        <v>14.8</v>
      </c>
      <c r="O53">
        <v>44.4</v>
      </c>
      <c r="P53">
        <v>131</v>
      </c>
      <c r="Q53">
        <v>78</v>
      </c>
      <c r="R53">
        <v>613</v>
      </c>
      <c r="S53">
        <v>89590</v>
      </c>
      <c r="T53">
        <v>10266</v>
      </c>
      <c r="U53">
        <v>168913</v>
      </c>
      <c r="V53">
        <v>8</v>
      </c>
      <c r="W53">
        <v>8</v>
      </c>
      <c r="X53">
        <v>9</v>
      </c>
      <c r="Y53">
        <v>6552512</v>
      </c>
      <c r="Z53">
        <v>530430</v>
      </c>
      <c r="AA53">
        <v>6552512</v>
      </c>
      <c r="AB53">
        <v>44795000</v>
      </c>
      <c r="AC53">
        <v>2566500</v>
      </c>
      <c r="AD53">
        <v>42228250</v>
      </c>
    </row>
    <row r="54" spans="1:30" x14ac:dyDescent="0.3">
      <c r="A54" t="s">
        <v>85</v>
      </c>
      <c r="B54" t="s">
        <v>0</v>
      </c>
      <c r="C54" t="s">
        <v>229</v>
      </c>
      <c r="D54">
        <v>116</v>
      </c>
      <c r="E54">
        <v>25</v>
      </c>
      <c r="F54">
        <v>91</v>
      </c>
      <c r="G54">
        <v>7</v>
      </c>
      <c r="H54">
        <v>1</v>
      </c>
      <c r="I54">
        <v>6</v>
      </c>
      <c r="J54">
        <v>109</v>
      </c>
      <c r="K54">
        <v>24</v>
      </c>
      <c r="L54">
        <v>85</v>
      </c>
      <c r="M54">
        <v>6</v>
      </c>
      <c r="N54">
        <v>4</v>
      </c>
      <c r="O54">
        <v>6.6</v>
      </c>
      <c r="P54">
        <v>9</v>
      </c>
      <c r="Q54">
        <v>14</v>
      </c>
      <c r="R54">
        <v>9</v>
      </c>
      <c r="S54">
        <v>5691</v>
      </c>
      <c r="T54">
        <v>129</v>
      </c>
      <c r="U54">
        <v>7219</v>
      </c>
      <c r="V54">
        <v>0</v>
      </c>
      <c r="W54">
        <v>2</v>
      </c>
      <c r="X54">
        <v>0</v>
      </c>
      <c r="Y54">
        <v>322815</v>
      </c>
      <c r="Z54">
        <v>1239</v>
      </c>
      <c r="AA54">
        <v>322815</v>
      </c>
      <c r="AB54">
        <v>660156</v>
      </c>
      <c r="AC54">
        <v>3225</v>
      </c>
      <c r="AD54">
        <v>656929</v>
      </c>
    </row>
    <row r="55" spans="1:30" x14ac:dyDescent="0.3">
      <c r="A55" t="s">
        <v>92</v>
      </c>
      <c r="B55" t="s">
        <v>0</v>
      </c>
      <c r="C55" t="s">
        <v>229</v>
      </c>
      <c r="D55">
        <v>450</v>
      </c>
      <c r="E55">
        <v>281</v>
      </c>
      <c r="F55">
        <v>169</v>
      </c>
      <c r="G55">
        <v>442</v>
      </c>
      <c r="H55">
        <v>276</v>
      </c>
      <c r="I55">
        <v>166</v>
      </c>
      <c r="J55">
        <v>8</v>
      </c>
      <c r="K55">
        <v>5</v>
      </c>
      <c r="L55">
        <v>3</v>
      </c>
      <c r="M55">
        <v>98.2</v>
      </c>
      <c r="N55">
        <v>98.2</v>
      </c>
      <c r="O55">
        <v>98.2</v>
      </c>
      <c r="P55">
        <v>57709</v>
      </c>
      <c r="Q55">
        <v>53245</v>
      </c>
      <c r="R55">
        <v>84516</v>
      </c>
      <c r="S55">
        <v>5896273</v>
      </c>
      <c r="T55">
        <v>1239529</v>
      </c>
      <c r="U55">
        <v>13639144</v>
      </c>
      <c r="V55">
        <v>10</v>
      </c>
      <c r="W55">
        <v>77</v>
      </c>
      <c r="X55">
        <v>10</v>
      </c>
      <c r="Y55">
        <v>2015494423</v>
      </c>
      <c r="Z55">
        <v>59516743</v>
      </c>
      <c r="AA55">
        <v>2015494423</v>
      </c>
      <c r="AB55">
        <v>2653322850</v>
      </c>
      <c r="AC55">
        <v>348307649</v>
      </c>
      <c r="AD55">
        <v>2305015336</v>
      </c>
    </row>
    <row r="56" spans="1:30" x14ac:dyDescent="0.3">
      <c r="A56" t="s">
        <v>45</v>
      </c>
      <c r="B56" t="s">
        <v>0</v>
      </c>
      <c r="C56" t="s">
        <v>229</v>
      </c>
      <c r="D56">
        <v>500</v>
      </c>
      <c r="E56">
        <v>272</v>
      </c>
      <c r="F56">
        <v>228</v>
      </c>
      <c r="G56">
        <v>216</v>
      </c>
      <c r="H56">
        <v>95</v>
      </c>
      <c r="I56">
        <v>121</v>
      </c>
      <c r="J56">
        <v>284</v>
      </c>
      <c r="K56">
        <v>177</v>
      </c>
      <c r="L56">
        <v>107</v>
      </c>
      <c r="M56">
        <v>43.2</v>
      </c>
      <c r="N56">
        <v>34.9</v>
      </c>
      <c r="O56">
        <v>53.1</v>
      </c>
      <c r="P56">
        <v>547</v>
      </c>
      <c r="Q56">
        <v>307</v>
      </c>
      <c r="R56">
        <v>1460</v>
      </c>
      <c r="S56">
        <v>138423</v>
      </c>
      <c r="T56">
        <v>148494</v>
      </c>
      <c r="U56">
        <v>126409</v>
      </c>
      <c r="V56">
        <v>3</v>
      </c>
      <c r="W56">
        <v>3</v>
      </c>
      <c r="X56">
        <v>9</v>
      </c>
      <c r="Y56">
        <v>12569388</v>
      </c>
      <c r="Z56">
        <v>12569388</v>
      </c>
      <c r="AA56">
        <v>3426259</v>
      </c>
      <c r="AB56">
        <v>69211500</v>
      </c>
      <c r="AC56">
        <v>40390368</v>
      </c>
      <c r="AD56">
        <v>28821252</v>
      </c>
    </row>
    <row r="57" spans="1:30" x14ac:dyDescent="0.3">
      <c r="A57" t="s">
        <v>113</v>
      </c>
      <c r="B57" t="s">
        <v>0</v>
      </c>
      <c r="C57" t="s">
        <v>229</v>
      </c>
      <c r="D57">
        <v>350</v>
      </c>
      <c r="E57">
        <v>203</v>
      </c>
      <c r="F57">
        <v>147</v>
      </c>
      <c r="G57">
        <v>328</v>
      </c>
      <c r="H57">
        <v>189</v>
      </c>
      <c r="I57">
        <v>139</v>
      </c>
      <c r="J57">
        <v>22</v>
      </c>
      <c r="K57">
        <v>14</v>
      </c>
      <c r="L57">
        <v>8</v>
      </c>
      <c r="M57">
        <v>93.7</v>
      </c>
      <c r="N57">
        <v>93.1</v>
      </c>
      <c r="O57">
        <v>94.6</v>
      </c>
      <c r="P57">
        <v>8331</v>
      </c>
      <c r="Q57">
        <v>7350</v>
      </c>
      <c r="R57">
        <v>9059</v>
      </c>
      <c r="S57">
        <v>566305</v>
      </c>
      <c r="T57">
        <v>657839</v>
      </c>
      <c r="U57">
        <v>439901</v>
      </c>
      <c r="V57">
        <v>116</v>
      </c>
      <c r="W57">
        <v>116</v>
      </c>
      <c r="X57">
        <v>449</v>
      </c>
      <c r="Y57">
        <v>33782600</v>
      </c>
      <c r="Z57">
        <v>33782600</v>
      </c>
      <c r="AA57">
        <v>33352064</v>
      </c>
      <c r="AB57">
        <v>198206750</v>
      </c>
      <c r="AC57">
        <v>133541317</v>
      </c>
      <c r="AD57">
        <v>64665447</v>
      </c>
    </row>
    <row r="58" spans="1:30" x14ac:dyDescent="0.3">
      <c r="A58" t="s">
        <v>82</v>
      </c>
      <c r="B58" t="s">
        <v>0</v>
      </c>
      <c r="C58" t="s">
        <v>229</v>
      </c>
      <c r="D58">
        <v>53</v>
      </c>
      <c r="E58">
        <v>23</v>
      </c>
      <c r="F58">
        <v>30</v>
      </c>
      <c r="G58">
        <v>21</v>
      </c>
      <c r="H58">
        <v>7</v>
      </c>
      <c r="I58">
        <v>14</v>
      </c>
      <c r="J58">
        <v>32</v>
      </c>
      <c r="K58">
        <v>16</v>
      </c>
      <c r="L58">
        <v>16</v>
      </c>
      <c r="M58">
        <v>39.6</v>
      </c>
      <c r="N58">
        <v>30.4</v>
      </c>
      <c r="O58">
        <v>46.7</v>
      </c>
      <c r="P58">
        <v>552</v>
      </c>
      <c r="Q58">
        <v>515</v>
      </c>
      <c r="R58">
        <v>775</v>
      </c>
      <c r="S58">
        <v>822436</v>
      </c>
      <c r="T58">
        <v>7155</v>
      </c>
      <c r="U58">
        <v>1447484</v>
      </c>
      <c r="V58">
        <v>0</v>
      </c>
      <c r="W58">
        <v>7</v>
      </c>
      <c r="X58">
        <v>0</v>
      </c>
      <c r="Y58">
        <v>36080862</v>
      </c>
      <c r="Z58">
        <v>42024</v>
      </c>
      <c r="AA58">
        <v>36080862</v>
      </c>
      <c r="AB58">
        <v>43589108</v>
      </c>
      <c r="AC58">
        <v>164565</v>
      </c>
      <c r="AD58">
        <v>43424520</v>
      </c>
    </row>
    <row r="59" spans="1:30" x14ac:dyDescent="0.3">
      <c r="A59" t="s">
        <v>44</v>
      </c>
      <c r="B59" t="s">
        <v>0</v>
      </c>
      <c r="C59" t="s">
        <v>229</v>
      </c>
      <c r="D59">
        <v>300</v>
      </c>
      <c r="E59">
        <v>174</v>
      </c>
      <c r="F59">
        <v>126</v>
      </c>
      <c r="G59">
        <v>204</v>
      </c>
      <c r="H59">
        <v>97</v>
      </c>
      <c r="I59">
        <v>107</v>
      </c>
      <c r="J59">
        <v>96</v>
      </c>
      <c r="K59">
        <v>77</v>
      </c>
      <c r="L59">
        <v>19</v>
      </c>
      <c r="M59">
        <v>68</v>
      </c>
      <c r="N59">
        <v>55.7</v>
      </c>
      <c r="O59">
        <v>84.9</v>
      </c>
      <c r="P59">
        <v>5744</v>
      </c>
      <c r="Q59">
        <v>2012</v>
      </c>
      <c r="R59">
        <v>27112</v>
      </c>
      <c r="S59">
        <v>289338</v>
      </c>
      <c r="T59">
        <v>273654</v>
      </c>
      <c r="U59">
        <v>310997</v>
      </c>
      <c r="V59">
        <v>8</v>
      </c>
      <c r="W59">
        <v>8</v>
      </c>
      <c r="X59">
        <v>21</v>
      </c>
      <c r="Y59">
        <v>16098360</v>
      </c>
      <c r="Z59">
        <v>16098360</v>
      </c>
      <c r="AA59">
        <v>6288911</v>
      </c>
      <c r="AB59">
        <v>86801400</v>
      </c>
      <c r="AC59">
        <v>47615796</v>
      </c>
      <c r="AD59">
        <v>39185622</v>
      </c>
    </row>
    <row r="60" spans="1:30" x14ac:dyDescent="0.3">
      <c r="A60" t="s">
        <v>62</v>
      </c>
      <c r="B60" t="s">
        <v>0</v>
      </c>
      <c r="C60" t="s">
        <v>229</v>
      </c>
      <c r="D60">
        <v>6</v>
      </c>
      <c r="E60">
        <v>3</v>
      </c>
      <c r="F60">
        <v>3</v>
      </c>
      <c r="G60">
        <v>4</v>
      </c>
      <c r="H60">
        <v>2</v>
      </c>
      <c r="I60">
        <v>2</v>
      </c>
      <c r="J60">
        <v>2</v>
      </c>
      <c r="K60">
        <v>1</v>
      </c>
      <c r="L60">
        <v>1</v>
      </c>
      <c r="M60">
        <v>66.7</v>
      </c>
      <c r="N60">
        <v>66.7</v>
      </c>
      <c r="O60">
        <v>66.7</v>
      </c>
      <c r="P60">
        <v>1352</v>
      </c>
      <c r="Q60">
        <v>1247</v>
      </c>
      <c r="R60">
        <v>1457</v>
      </c>
      <c r="S60">
        <v>21482</v>
      </c>
      <c r="T60">
        <v>36595</v>
      </c>
      <c r="U60">
        <v>6368</v>
      </c>
      <c r="V60">
        <v>154</v>
      </c>
      <c r="W60">
        <v>441</v>
      </c>
      <c r="X60">
        <v>154</v>
      </c>
      <c r="Y60">
        <v>108099</v>
      </c>
      <c r="Z60">
        <v>108099</v>
      </c>
      <c r="AA60">
        <v>17495</v>
      </c>
      <c r="AB60">
        <v>128892</v>
      </c>
      <c r="AC60">
        <v>109785</v>
      </c>
      <c r="AD60">
        <v>19104</v>
      </c>
    </row>
    <row r="61" spans="1:30" x14ac:dyDescent="0.3">
      <c r="A61" t="s">
        <v>62</v>
      </c>
      <c r="B61" t="s">
        <v>0</v>
      </c>
      <c r="C61" t="s">
        <v>230</v>
      </c>
      <c r="D61">
        <v>24</v>
      </c>
      <c r="E61">
        <v>23</v>
      </c>
      <c r="F61">
        <v>1</v>
      </c>
      <c r="G61">
        <v>15</v>
      </c>
      <c r="H61">
        <v>15</v>
      </c>
      <c r="I61">
        <v>0</v>
      </c>
      <c r="J61">
        <v>9</v>
      </c>
      <c r="K61">
        <v>8</v>
      </c>
      <c r="L61">
        <v>1</v>
      </c>
      <c r="M61">
        <v>62.5</v>
      </c>
      <c r="N61">
        <v>65.2</v>
      </c>
      <c r="O61">
        <v>0</v>
      </c>
      <c r="P61">
        <v>2354</v>
      </c>
      <c r="Q61">
        <v>2470</v>
      </c>
      <c r="R61">
        <v>38</v>
      </c>
      <c r="S61">
        <v>395728</v>
      </c>
      <c r="T61">
        <v>412932</v>
      </c>
      <c r="U61">
        <v>38</v>
      </c>
      <c r="V61">
        <v>15</v>
      </c>
      <c r="W61">
        <v>15</v>
      </c>
      <c r="X61">
        <v>38</v>
      </c>
      <c r="Y61">
        <v>9036711</v>
      </c>
      <c r="Z61">
        <v>9036711</v>
      </c>
      <c r="AA61">
        <v>38</v>
      </c>
      <c r="AB61">
        <v>9497472</v>
      </c>
      <c r="AC61">
        <v>9497436</v>
      </c>
      <c r="AD61">
        <v>38</v>
      </c>
    </row>
    <row r="62" spans="1:30" x14ac:dyDescent="0.3">
      <c r="A62" t="s">
        <v>62</v>
      </c>
      <c r="B62" t="s">
        <v>0</v>
      </c>
      <c r="C62" t="s">
        <v>231</v>
      </c>
      <c r="D62">
        <v>35</v>
      </c>
      <c r="E62">
        <v>34</v>
      </c>
      <c r="F62">
        <v>1</v>
      </c>
      <c r="G62">
        <v>24</v>
      </c>
      <c r="H62">
        <v>23</v>
      </c>
      <c r="I62">
        <v>1</v>
      </c>
      <c r="J62">
        <v>11</v>
      </c>
      <c r="K62">
        <v>11</v>
      </c>
      <c r="L62">
        <v>0</v>
      </c>
      <c r="M62">
        <v>68.599999999999994</v>
      </c>
      <c r="N62">
        <v>67.599999999999994</v>
      </c>
      <c r="O62">
        <v>100</v>
      </c>
      <c r="P62">
        <v>7718</v>
      </c>
      <c r="Q62">
        <v>6612</v>
      </c>
      <c r="R62">
        <v>13315732</v>
      </c>
      <c r="S62">
        <v>4129137</v>
      </c>
      <c r="T62">
        <v>3858943</v>
      </c>
      <c r="U62">
        <v>13315732</v>
      </c>
      <c r="V62">
        <v>72</v>
      </c>
      <c r="W62">
        <v>72</v>
      </c>
      <c r="X62">
        <v>13315732</v>
      </c>
      <c r="Y62">
        <v>44080980</v>
      </c>
      <c r="Z62">
        <v>44080980</v>
      </c>
      <c r="AA62">
        <v>13315732</v>
      </c>
      <c r="AB62">
        <v>144519795</v>
      </c>
      <c r="AC62">
        <v>131204062</v>
      </c>
      <c r="AD62">
        <v>13315732</v>
      </c>
    </row>
    <row r="63" spans="1:30" x14ac:dyDescent="0.3">
      <c r="A63" t="s">
        <v>59</v>
      </c>
      <c r="B63" t="s">
        <v>0</v>
      </c>
      <c r="C63" t="s">
        <v>230</v>
      </c>
      <c r="D63">
        <v>101</v>
      </c>
      <c r="E63">
        <v>90</v>
      </c>
      <c r="F63">
        <v>11</v>
      </c>
      <c r="G63">
        <v>98</v>
      </c>
      <c r="H63">
        <v>88</v>
      </c>
      <c r="I63">
        <v>10</v>
      </c>
      <c r="J63">
        <v>3</v>
      </c>
      <c r="K63">
        <v>2</v>
      </c>
      <c r="L63">
        <v>1</v>
      </c>
      <c r="M63">
        <v>97</v>
      </c>
      <c r="N63">
        <v>97.8</v>
      </c>
      <c r="O63">
        <v>90.9</v>
      </c>
      <c r="P63">
        <v>143931</v>
      </c>
      <c r="Q63">
        <v>151648</v>
      </c>
      <c r="R63">
        <v>143931</v>
      </c>
      <c r="S63">
        <v>4268265</v>
      </c>
      <c r="T63">
        <v>4672074</v>
      </c>
      <c r="U63">
        <v>964379</v>
      </c>
      <c r="V63">
        <v>49</v>
      </c>
      <c r="W63">
        <v>49</v>
      </c>
      <c r="X63">
        <v>511</v>
      </c>
      <c r="Y63">
        <v>124746243</v>
      </c>
      <c r="Z63">
        <v>124746243</v>
      </c>
      <c r="AA63">
        <v>7759103</v>
      </c>
      <c r="AB63">
        <v>431094765</v>
      </c>
      <c r="AC63">
        <v>420486660</v>
      </c>
      <c r="AD63">
        <v>10608169</v>
      </c>
    </row>
    <row r="64" spans="1:30" x14ac:dyDescent="0.3">
      <c r="A64" t="s">
        <v>59</v>
      </c>
      <c r="B64" t="s">
        <v>0</v>
      </c>
      <c r="C64" t="s">
        <v>231</v>
      </c>
      <c r="D64">
        <v>250</v>
      </c>
      <c r="E64">
        <v>245</v>
      </c>
      <c r="F64">
        <v>5</v>
      </c>
      <c r="G64">
        <v>246</v>
      </c>
      <c r="H64">
        <v>241</v>
      </c>
      <c r="I64">
        <v>5</v>
      </c>
      <c r="J64">
        <v>4</v>
      </c>
      <c r="K64">
        <v>4</v>
      </c>
      <c r="L64">
        <v>0</v>
      </c>
      <c r="M64">
        <v>98.4</v>
      </c>
      <c r="N64">
        <v>98.4</v>
      </c>
      <c r="O64">
        <v>100</v>
      </c>
      <c r="P64">
        <v>43811</v>
      </c>
      <c r="Q64">
        <v>43390</v>
      </c>
      <c r="R64">
        <v>447295</v>
      </c>
      <c r="S64">
        <v>1251588</v>
      </c>
      <c r="T64">
        <v>1266530</v>
      </c>
      <c r="U64">
        <v>519400</v>
      </c>
      <c r="V64">
        <v>28</v>
      </c>
      <c r="W64">
        <v>28</v>
      </c>
      <c r="X64">
        <v>4271</v>
      </c>
      <c r="Y64">
        <v>33453991</v>
      </c>
      <c r="Z64">
        <v>33453991</v>
      </c>
      <c r="AA64">
        <v>1296793</v>
      </c>
      <c r="AB64">
        <v>312897000</v>
      </c>
      <c r="AC64">
        <v>310299850</v>
      </c>
      <c r="AD64">
        <v>2597000</v>
      </c>
    </row>
    <row r="65" spans="1:30" x14ac:dyDescent="0.3">
      <c r="A65" t="s">
        <v>69</v>
      </c>
      <c r="B65" t="s">
        <v>0</v>
      </c>
      <c r="C65" t="s">
        <v>229</v>
      </c>
      <c r="D65">
        <v>172</v>
      </c>
      <c r="E65">
        <v>101</v>
      </c>
      <c r="F65">
        <v>71</v>
      </c>
      <c r="G65">
        <v>45</v>
      </c>
      <c r="H65">
        <v>24</v>
      </c>
      <c r="I65">
        <v>21</v>
      </c>
      <c r="J65">
        <v>127</v>
      </c>
      <c r="K65">
        <v>77</v>
      </c>
      <c r="L65">
        <v>50</v>
      </c>
      <c r="M65">
        <v>26.2</v>
      </c>
      <c r="N65">
        <v>23.8</v>
      </c>
      <c r="O65">
        <v>29.6</v>
      </c>
      <c r="P65">
        <v>187</v>
      </c>
      <c r="Q65">
        <v>188</v>
      </c>
      <c r="R65">
        <v>182</v>
      </c>
      <c r="S65">
        <v>3772845</v>
      </c>
      <c r="T65">
        <v>48026</v>
      </c>
      <c r="U65">
        <v>9071530</v>
      </c>
      <c r="V65">
        <v>2</v>
      </c>
      <c r="W65">
        <v>2</v>
      </c>
      <c r="X65">
        <v>12</v>
      </c>
      <c r="Y65">
        <v>387865613</v>
      </c>
      <c r="Z65">
        <v>3961708</v>
      </c>
      <c r="AA65">
        <v>387865613</v>
      </c>
      <c r="AB65">
        <v>648929340</v>
      </c>
      <c r="AC65">
        <v>4850626</v>
      </c>
      <c r="AD65">
        <v>644078630</v>
      </c>
    </row>
    <row r="66" spans="1:30" x14ac:dyDescent="0.3">
      <c r="A66" t="s">
        <v>69</v>
      </c>
      <c r="B66" t="s">
        <v>0</v>
      </c>
      <c r="C66" t="s">
        <v>230</v>
      </c>
      <c r="D66">
        <v>87</v>
      </c>
      <c r="E66">
        <v>86</v>
      </c>
      <c r="F66">
        <v>1</v>
      </c>
      <c r="G66">
        <v>79</v>
      </c>
      <c r="H66">
        <v>78</v>
      </c>
      <c r="I66">
        <v>1</v>
      </c>
      <c r="J66">
        <v>8</v>
      </c>
      <c r="K66">
        <v>8</v>
      </c>
      <c r="L66">
        <v>0</v>
      </c>
      <c r="M66">
        <v>90.8</v>
      </c>
      <c r="N66">
        <v>90.7</v>
      </c>
      <c r="O66">
        <v>100</v>
      </c>
      <c r="P66">
        <v>9012</v>
      </c>
      <c r="Q66">
        <v>8945</v>
      </c>
      <c r="R66">
        <v>153287</v>
      </c>
      <c r="S66">
        <v>370075</v>
      </c>
      <c r="T66">
        <v>372596</v>
      </c>
      <c r="U66">
        <v>153287</v>
      </c>
      <c r="V66">
        <v>99</v>
      </c>
      <c r="W66">
        <v>99</v>
      </c>
      <c r="X66">
        <v>153287</v>
      </c>
      <c r="Y66">
        <v>13524362</v>
      </c>
      <c r="Z66">
        <v>13524362</v>
      </c>
      <c r="AA66">
        <v>153287</v>
      </c>
      <c r="AB66">
        <v>32196525</v>
      </c>
      <c r="AC66">
        <v>32043256</v>
      </c>
      <c r="AD66">
        <v>153287</v>
      </c>
    </row>
    <row r="67" spans="1:30" x14ac:dyDescent="0.3">
      <c r="A67" t="s">
        <v>69</v>
      </c>
      <c r="B67" t="s">
        <v>0</v>
      </c>
      <c r="C67" t="s">
        <v>231</v>
      </c>
      <c r="D67">
        <v>241</v>
      </c>
      <c r="E67">
        <v>117</v>
      </c>
      <c r="F67">
        <v>124</v>
      </c>
      <c r="G67">
        <v>59</v>
      </c>
      <c r="H67">
        <v>23</v>
      </c>
      <c r="I67">
        <v>36</v>
      </c>
      <c r="J67">
        <v>182</v>
      </c>
      <c r="K67">
        <v>94</v>
      </c>
      <c r="L67">
        <v>88</v>
      </c>
      <c r="M67">
        <v>24.5</v>
      </c>
      <c r="N67">
        <v>19.7</v>
      </c>
      <c r="O67">
        <v>29</v>
      </c>
      <c r="P67">
        <v>129</v>
      </c>
      <c r="Q67">
        <v>128</v>
      </c>
      <c r="R67">
        <v>149</v>
      </c>
      <c r="S67">
        <v>2013710</v>
      </c>
      <c r="T67">
        <v>2897667</v>
      </c>
      <c r="U67">
        <v>1179655</v>
      </c>
      <c r="V67">
        <v>3</v>
      </c>
      <c r="W67">
        <v>5</v>
      </c>
      <c r="X67">
        <v>3</v>
      </c>
      <c r="Y67">
        <v>235724175</v>
      </c>
      <c r="Z67">
        <v>235724175</v>
      </c>
      <c r="AA67">
        <v>79271826</v>
      </c>
      <c r="AB67">
        <v>485304110</v>
      </c>
      <c r="AC67">
        <v>339027039</v>
      </c>
      <c r="AD67">
        <v>146277220</v>
      </c>
    </row>
    <row r="68" spans="1:30" x14ac:dyDescent="0.3">
      <c r="A68" t="s">
        <v>98</v>
      </c>
      <c r="B68" t="s">
        <v>0</v>
      </c>
      <c r="C68" t="s">
        <v>229</v>
      </c>
      <c r="D68">
        <v>450</v>
      </c>
      <c r="E68">
        <v>209</v>
      </c>
      <c r="F68">
        <v>241</v>
      </c>
      <c r="G68">
        <v>93</v>
      </c>
      <c r="H68">
        <v>20</v>
      </c>
      <c r="I68">
        <v>73</v>
      </c>
      <c r="J68">
        <v>357</v>
      </c>
      <c r="K68">
        <v>189</v>
      </c>
      <c r="L68">
        <v>168</v>
      </c>
      <c r="M68">
        <v>20.7</v>
      </c>
      <c r="N68">
        <v>9.6</v>
      </c>
      <c r="O68">
        <v>30.3</v>
      </c>
      <c r="P68">
        <v>82</v>
      </c>
      <c r="Q68">
        <v>49</v>
      </c>
      <c r="R68">
        <v>143</v>
      </c>
      <c r="S68">
        <v>23195</v>
      </c>
      <c r="T68">
        <v>2334</v>
      </c>
      <c r="U68">
        <v>41286</v>
      </c>
      <c r="V68">
        <v>1</v>
      </c>
      <c r="W68">
        <v>1</v>
      </c>
      <c r="X68">
        <v>2</v>
      </c>
      <c r="Y68">
        <v>3087621</v>
      </c>
      <c r="Z68">
        <v>220497</v>
      </c>
      <c r="AA68">
        <v>3087621</v>
      </c>
      <c r="AB68">
        <v>10437750</v>
      </c>
      <c r="AC68">
        <v>487806</v>
      </c>
      <c r="AD68">
        <v>9949926</v>
      </c>
    </row>
    <row r="69" spans="1:30" x14ac:dyDescent="0.3">
      <c r="A69" t="s">
        <v>98</v>
      </c>
      <c r="B69" t="s">
        <v>0</v>
      </c>
      <c r="C69" t="s">
        <v>231</v>
      </c>
      <c r="D69">
        <v>500</v>
      </c>
      <c r="E69">
        <v>191</v>
      </c>
      <c r="F69">
        <v>309</v>
      </c>
      <c r="G69">
        <v>74</v>
      </c>
      <c r="H69">
        <v>14</v>
      </c>
      <c r="I69">
        <v>60</v>
      </c>
      <c r="J69">
        <v>426</v>
      </c>
      <c r="K69">
        <v>177</v>
      </c>
      <c r="L69">
        <v>249</v>
      </c>
      <c r="M69">
        <v>14.8</v>
      </c>
      <c r="N69">
        <v>7.3</v>
      </c>
      <c r="O69">
        <v>19.399999999999999</v>
      </c>
      <c r="P69">
        <v>67</v>
      </c>
      <c r="Q69">
        <v>43</v>
      </c>
      <c r="R69">
        <v>89</v>
      </c>
      <c r="S69">
        <v>14488</v>
      </c>
      <c r="T69">
        <v>708</v>
      </c>
      <c r="U69">
        <v>23005</v>
      </c>
      <c r="V69">
        <v>0</v>
      </c>
      <c r="W69">
        <v>4</v>
      </c>
      <c r="X69">
        <v>0</v>
      </c>
      <c r="Y69">
        <v>1550387</v>
      </c>
      <c r="Z69">
        <v>34352</v>
      </c>
      <c r="AA69">
        <v>1550387</v>
      </c>
      <c r="AB69">
        <v>7244000</v>
      </c>
      <c r="AC69">
        <v>135228</v>
      </c>
      <c r="AD69">
        <v>7108545</v>
      </c>
    </row>
    <row r="70" spans="1:30" x14ac:dyDescent="0.3">
      <c r="A70" t="s">
        <v>87</v>
      </c>
      <c r="B70" t="s">
        <v>0</v>
      </c>
      <c r="C70" t="s">
        <v>231</v>
      </c>
      <c r="D70">
        <v>317</v>
      </c>
      <c r="E70">
        <v>251</v>
      </c>
      <c r="F70">
        <v>66</v>
      </c>
      <c r="G70">
        <v>92</v>
      </c>
      <c r="H70">
        <v>61</v>
      </c>
      <c r="I70">
        <v>31</v>
      </c>
      <c r="J70">
        <v>225</v>
      </c>
      <c r="K70">
        <v>190</v>
      </c>
      <c r="L70">
        <v>35</v>
      </c>
      <c r="M70">
        <v>29</v>
      </c>
      <c r="N70">
        <v>24.3</v>
      </c>
      <c r="O70">
        <v>47</v>
      </c>
      <c r="P70">
        <v>181</v>
      </c>
      <c r="Q70">
        <v>169</v>
      </c>
      <c r="R70">
        <v>512</v>
      </c>
      <c r="S70">
        <v>33510</v>
      </c>
      <c r="T70">
        <v>21153</v>
      </c>
      <c r="U70">
        <v>80500</v>
      </c>
      <c r="V70">
        <v>1</v>
      </c>
      <c r="W70">
        <v>1</v>
      </c>
      <c r="X70">
        <v>14</v>
      </c>
      <c r="Y70">
        <v>2562313</v>
      </c>
      <c r="Z70">
        <v>1456699</v>
      </c>
      <c r="AA70">
        <v>2562313</v>
      </c>
      <c r="AB70">
        <v>10622670</v>
      </c>
      <c r="AC70">
        <v>5309403</v>
      </c>
      <c r="AD70">
        <v>5313000</v>
      </c>
    </row>
    <row r="71" spans="1:30" x14ac:dyDescent="0.3">
      <c r="A71" t="s">
        <v>39</v>
      </c>
      <c r="B71" t="s">
        <v>0</v>
      </c>
      <c r="C71" t="s">
        <v>231</v>
      </c>
      <c r="D71">
        <v>500</v>
      </c>
      <c r="E71">
        <v>347</v>
      </c>
      <c r="F71">
        <v>153</v>
      </c>
      <c r="G71">
        <v>401</v>
      </c>
      <c r="H71">
        <v>272</v>
      </c>
      <c r="I71">
        <v>129</v>
      </c>
      <c r="J71">
        <v>99</v>
      </c>
      <c r="K71">
        <v>75</v>
      </c>
      <c r="L71">
        <v>24</v>
      </c>
      <c r="M71">
        <v>80.2</v>
      </c>
      <c r="N71">
        <v>78.400000000000006</v>
      </c>
      <c r="O71">
        <v>84.3</v>
      </c>
      <c r="P71">
        <v>3132</v>
      </c>
      <c r="Q71">
        <v>2533</v>
      </c>
      <c r="R71">
        <v>5430</v>
      </c>
      <c r="S71">
        <v>68434</v>
      </c>
      <c r="T71">
        <v>55442</v>
      </c>
      <c r="U71">
        <v>97898</v>
      </c>
      <c r="V71">
        <v>1</v>
      </c>
      <c r="W71">
        <v>1</v>
      </c>
      <c r="X71">
        <v>66</v>
      </c>
      <c r="Y71">
        <v>3687699</v>
      </c>
      <c r="Z71">
        <v>2649723</v>
      </c>
      <c r="AA71">
        <v>3687699</v>
      </c>
      <c r="AB71">
        <v>34217000</v>
      </c>
      <c r="AC71">
        <v>19238374</v>
      </c>
      <c r="AD71">
        <v>14978394</v>
      </c>
    </row>
    <row r="72" spans="1:30" x14ac:dyDescent="0.3">
      <c r="A72" t="s">
        <v>95</v>
      </c>
      <c r="B72" t="s">
        <v>0</v>
      </c>
      <c r="C72" t="s">
        <v>229</v>
      </c>
      <c r="D72">
        <v>168</v>
      </c>
      <c r="E72">
        <v>61</v>
      </c>
      <c r="F72">
        <v>107</v>
      </c>
      <c r="G72">
        <v>47</v>
      </c>
      <c r="H72">
        <v>13</v>
      </c>
      <c r="I72">
        <v>34</v>
      </c>
      <c r="J72">
        <v>121</v>
      </c>
      <c r="K72">
        <v>48</v>
      </c>
      <c r="L72">
        <v>73</v>
      </c>
      <c r="M72">
        <v>28</v>
      </c>
      <c r="N72">
        <v>21.3</v>
      </c>
      <c r="O72">
        <v>31.8</v>
      </c>
      <c r="P72">
        <v>142</v>
      </c>
      <c r="Q72">
        <v>81</v>
      </c>
      <c r="R72">
        <v>227</v>
      </c>
      <c r="S72">
        <v>42907</v>
      </c>
      <c r="T72">
        <v>3766</v>
      </c>
      <c r="U72">
        <v>65222</v>
      </c>
      <c r="V72">
        <v>1</v>
      </c>
      <c r="W72">
        <v>1</v>
      </c>
      <c r="X72">
        <v>3</v>
      </c>
      <c r="Y72">
        <v>3094727</v>
      </c>
      <c r="Z72">
        <v>164536</v>
      </c>
      <c r="AA72">
        <v>3094727</v>
      </c>
      <c r="AB72">
        <v>7208376</v>
      </c>
      <c r="AC72">
        <v>229726</v>
      </c>
      <c r="AD72">
        <v>6978754</v>
      </c>
    </row>
    <row r="73" spans="1:30" x14ac:dyDescent="0.3">
      <c r="A73" t="s">
        <v>95</v>
      </c>
      <c r="B73" t="s">
        <v>0</v>
      </c>
      <c r="C73" t="s">
        <v>231</v>
      </c>
      <c r="D73">
        <v>108</v>
      </c>
      <c r="E73">
        <v>43</v>
      </c>
      <c r="F73">
        <v>65</v>
      </c>
      <c r="G73">
        <v>26</v>
      </c>
      <c r="H73">
        <v>5</v>
      </c>
      <c r="I73">
        <v>21</v>
      </c>
      <c r="J73">
        <v>82</v>
      </c>
      <c r="K73">
        <v>38</v>
      </c>
      <c r="L73">
        <v>44</v>
      </c>
      <c r="M73">
        <v>24.1</v>
      </c>
      <c r="N73">
        <v>11.6</v>
      </c>
      <c r="O73">
        <v>32.299999999999997</v>
      </c>
      <c r="P73">
        <v>133</v>
      </c>
      <c r="Q73">
        <v>69</v>
      </c>
      <c r="R73">
        <v>212</v>
      </c>
      <c r="S73">
        <v>28659</v>
      </c>
      <c r="T73">
        <v>1474</v>
      </c>
      <c r="U73">
        <v>46642</v>
      </c>
      <c r="V73">
        <v>1</v>
      </c>
      <c r="W73">
        <v>1</v>
      </c>
      <c r="X73">
        <v>1</v>
      </c>
      <c r="Y73">
        <v>2073903</v>
      </c>
      <c r="Z73">
        <v>43567</v>
      </c>
      <c r="AA73">
        <v>2073903</v>
      </c>
      <c r="AB73">
        <v>3095172</v>
      </c>
      <c r="AC73">
        <v>63382</v>
      </c>
      <c r="AD73">
        <v>3031730</v>
      </c>
    </row>
    <row r="74" spans="1:30" x14ac:dyDescent="0.3">
      <c r="A74" t="s">
        <v>102</v>
      </c>
      <c r="B74" t="s">
        <v>0</v>
      </c>
      <c r="C74" t="s">
        <v>229</v>
      </c>
      <c r="D74">
        <v>398</v>
      </c>
      <c r="E74">
        <v>240</v>
      </c>
      <c r="F74">
        <v>158</v>
      </c>
      <c r="G74">
        <v>78</v>
      </c>
      <c r="H74">
        <v>47</v>
      </c>
      <c r="I74">
        <v>31</v>
      </c>
      <c r="J74">
        <v>320</v>
      </c>
      <c r="K74">
        <v>193</v>
      </c>
      <c r="L74">
        <v>127</v>
      </c>
      <c r="M74">
        <v>19.600000000000001</v>
      </c>
      <c r="N74">
        <v>19.600000000000001</v>
      </c>
      <c r="O74">
        <v>19.600000000000001</v>
      </c>
      <c r="P74">
        <v>86</v>
      </c>
      <c r="Q74">
        <v>121</v>
      </c>
      <c r="R74">
        <v>49</v>
      </c>
      <c r="S74">
        <v>20871</v>
      </c>
      <c r="T74">
        <v>18709</v>
      </c>
      <c r="U74">
        <v>24154</v>
      </c>
      <c r="V74">
        <v>0</v>
      </c>
      <c r="W74">
        <v>0</v>
      </c>
      <c r="X74">
        <v>0</v>
      </c>
      <c r="Y74">
        <v>3810009</v>
      </c>
      <c r="Z74">
        <v>3810009</v>
      </c>
      <c r="AA74">
        <v>639265</v>
      </c>
      <c r="AB74">
        <v>8306658</v>
      </c>
      <c r="AC74">
        <v>4490160</v>
      </c>
      <c r="AD74">
        <v>3816332</v>
      </c>
    </row>
    <row r="75" spans="1:30" x14ac:dyDescent="0.3">
      <c r="A75" t="s">
        <v>102</v>
      </c>
      <c r="B75" t="s">
        <v>0</v>
      </c>
      <c r="C75" t="s">
        <v>231</v>
      </c>
      <c r="D75">
        <v>188</v>
      </c>
      <c r="E75">
        <v>105</v>
      </c>
      <c r="F75">
        <v>83</v>
      </c>
      <c r="G75">
        <v>28</v>
      </c>
      <c r="H75">
        <v>20</v>
      </c>
      <c r="I75">
        <v>8</v>
      </c>
      <c r="J75">
        <v>160</v>
      </c>
      <c r="K75">
        <v>85</v>
      </c>
      <c r="L75">
        <v>75</v>
      </c>
      <c r="M75">
        <v>14.9</v>
      </c>
      <c r="N75">
        <v>19</v>
      </c>
      <c r="O75">
        <v>9.6</v>
      </c>
      <c r="P75">
        <v>27</v>
      </c>
      <c r="Q75">
        <v>45</v>
      </c>
      <c r="R75">
        <v>12</v>
      </c>
      <c r="S75">
        <v>94820</v>
      </c>
      <c r="T75">
        <v>39968</v>
      </c>
      <c r="U75">
        <v>164212</v>
      </c>
      <c r="V75">
        <v>0</v>
      </c>
      <c r="W75">
        <v>0</v>
      </c>
      <c r="X75">
        <v>0</v>
      </c>
      <c r="Y75">
        <v>13348679</v>
      </c>
      <c r="Z75">
        <v>3292560</v>
      </c>
      <c r="AA75">
        <v>13348679</v>
      </c>
      <c r="AB75">
        <v>17826160</v>
      </c>
      <c r="AC75">
        <v>4196640</v>
      </c>
      <c r="AD75">
        <v>13629596</v>
      </c>
    </row>
    <row r="76" spans="1:30" x14ac:dyDescent="0.3">
      <c r="A76" t="s">
        <v>86</v>
      </c>
      <c r="B76" t="s">
        <v>0</v>
      </c>
      <c r="C76" t="s">
        <v>229</v>
      </c>
      <c r="D76">
        <v>446</v>
      </c>
      <c r="E76">
        <v>239</v>
      </c>
      <c r="F76">
        <v>207</v>
      </c>
      <c r="G76">
        <v>288</v>
      </c>
      <c r="H76">
        <v>144</v>
      </c>
      <c r="I76">
        <v>144</v>
      </c>
      <c r="J76">
        <v>158</v>
      </c>
      <c r="K76">
        <v>95</v>
      </c>
      <c r="L76">
        <v>63</v>
      </c>
      <c r="M76">
        <v>64.599999999999994</v>
      </c>
      <c r="N76">
        <v>60.3</v>
      </c>
      <c r="O76">
        <v>69.599999999999994</v>
      </c>
      <c r="P76">
        <v>1834</v>
      </c>
      <c r="Q76">
        <v>1354</v>
      </c>
      <c r="R76">
        <v>2650</v>
      </c>
      <c r="S76">
        <v>55624</v>
      </c>
      <c r="T76">
        <v>31520</v>
      </c>
      <c r="U76">
        <v>83454</v>
      </c>
      <c r="V76">
        <v>2</v>
      </c>
      <c r="W76">
        <v>2</v>
      </c>
      <c r="X76">
        <v>2</v>
      </c>
      <c r="Y76">
        <v>5617737</v>
      </c>
      <c r="Z76">
        <v>1388821</v>
      </c>
      <c r="AA76">
        <v>5617737</v>
      </c>
      <c r="AB76">
        <v>24808304</v>
      </c>
      <c r="AC76">
        <v>7533280</v>
      </c>
      <c r="AD76">
        <v>17274978</v>
      </c>
    </row>
    <row r="77" spans="1:30" x14ac:dyDescent="0.3">
      <c r="A77" t="s">
        <v>77</v>
      </c>
      <c r="B77" t="s">
        <v>0</v>
      </c>
      <c r="C77" t="s">
        <v>229</v>
      </c>
      <c r="D77">
        <v>74</v>
      </c>
      <c r="E77">
        <v>47</v>
      </c>
      <c r="F77">
        <v>27</v>
      </c>
      <c r="G77">
        <v>17</v>
      </c>
      <c r="H77">
        <v>10</v>
      </c>
      <c r="I77">
        <v>7</v>
      </c>
      <c r="J77">
        <v>57</v>
      </c>
      <c r="K77">
        <v>37</v>
      </c>
      <c r="L77">
        <v>20</v>
      </c>
      <c r="M77">
        <v>23</v>
      </c>
      <c r="N77">
        <v>21.3</v>
      </c>
      <c r="O77">
        <v>25.9</v>
      </c>
      <c r="P77">
        <v>227</v>
      </c>
      <c r="Q77">
        <v>245</v>
      </c>
      <c r="R77">
        <v>209</v>
      </c>
      <c r="S77">
        <v>10183576</v>
      </c>
      <c r="T77">
        <v>8931</v>
      </c>
      <c r="U77">
        <v>27894995</v>
      </c>
      <c r="V77">
        <v>2</v>
      </c>
      <c r="W77">
        <v>2</v>
      </c>
      <c r="X77">
        <v>2</v>
      </c>
      <c r="Y77">
        <v>727027985</v>
      </c>
      <c r="Z77">
        <v>367592</v>
      </c>
      <c r="AA77">
        <v>727027985</v>
      </c>
      <c r="AB77">
        <v>753584624</v>
      </c>
      <c r="AC77">
        <v>419757</v>
      </c>
      <c r="AD77">
        <v>753164865</v>
      </c>
    </row>
    <row r="78" spans="1:30" x14ac:dyDescent="0.3">
      <c r="A78" t="s">
        <v>77</v>
      </c>
      <c r="B78" t="s">
        <v>0</v>
      </c>
      <c r="C78" t="s">
        <v>231</v>
      </c>
      <c r="D78">
        <v>100</v>
      </c>
      <c r="E78">
        <v>52</v>
      </c>
      <c r="F78">
        <v>48</v>
      </c>
      <c r="G78">
        <v>32</v>
      </c>
      <c r="H78">
        <v>12</v>
      </c>
      <c r="I78">
        <v>20</v>
      </c>
      <c r="J78">
        <v>68</v>
      </c>
      <c r="K78">
        <v>40</v>
      </c>
      <c r="L78">
        <v>28</v>
      </c>
      <c r="M78">
        <v>32</v>
      </c>
      <c r="N78">
        <v>23.1</v>
      </c>
      <c r="O78">
        <v>41.7</v>
      </c>
      <c r="P78">
        <v>188</v>
      </c>
      <c r="Q78">
        <v>155</v>
      </c>
      <c r="R78">
        <v>329</v>
      </c>
      <c r="S78">
        <v>2194964</v>
      </c>
      <c r="T78">
        <v>337061</v>
      </c>
      <c r="U78">
        <v>4207693</v>
      </c>
      <c r="V78">
        <v>1</v>
      </c>
      <c r="W78">
        <v>3</v>
      </c>
      <c r="X78">
        <v>1</v>
      </c>
      <c r="Y78">
        <v>70566480</v>
      </c>
      <c r="Z78">
        <v>17387721</v>
      </c>
      <c r="AA78">
        <v>70566480</v>
      </c>
      <c r="AB78">
        <v>219496400</v>
      </c>
      <c r="AC78">
        <v>17527172</v>
      </c>
      <c r="AD78">
        <v>201969264</v>
      </c>
    </row>
    <row r="79" spans="1:30" x14ac:dyDescent="0.3">
      <c r="A79" t="s">
        <v>100</v>
      </c>
      <c r="B79" t="s">
        <v>0</v>
      </c>
      <c r="C79" t="s">
        <v>231</v>
      </c>
      <c r="D79">
        <v>250</v>
      </c>
      <c r="E79">
        <v>85</v>
      </c>
      <c r="F79">
        <v>165</v>
      </c>
      <c r="G79">
        <v>245</v>
      </c>
      <c r="H79">
        <v>81</v>
      </c>
      <c r="I79">
        <v>164</v>
      </c>
      <c r="J79">
        <v>5</v>
      </c>
      <c r="K79">
        <v>4</v>
      </c>
      <c r="L79">
        <v>1</v>
      </c>
      <c r="M79">
        <v>98</v>
      </c>
      <c r="N79">
        <v>95.3</v>
      </c>
      <c r="O79">
        <v>99.4</v>
      </c>
      <c r="P79">
        <v>111740</v>
      </c>
      <c r="Q79">
        <v>146432</v>
      </c>
      <c r="R79">
        <v>101422</v>
      </c>
      <c r="S79">
        <v>945923</v>
      </c>
      <c r="T79">
        <v>1362911</v>
      </c>
      <c r="U79">
        <v>731111</v>
      </c>
      <c r="V79">
        <v>145</v>
      </c>
      <c r="W79">
        <v>555</v>
      </c>
      <c r="X79">
        <v>145</v>
      </c>
      <c r="Y79">
        <v>45143700</v>
      </c>
      <c r="Z79">
        <v>23887726</v>
      </c>
      <c r="AA79">
        <v>45143700</v>
      </c>
      <c r="AB79">
        <v>236480750</v>
      </c>
      <c r="AC79">
        <v>115847435</v>
      </c>
      <c r="AD79">
        <v>120633315</v>
      </c>
    </row>
    <row r="80" spans="1:30" x14ac:dyDescent="0.3">
      <c r="A80" t="s">
        <v>40</v>
      </c>
      <c r="B80" t="s">
        <v>0</v>
      </c>
      <c r="C80" t="s">
        <v>230</v>
      </c>
      <c r="D80">
        <v>2</v>
      </c>
      <c r="E80">
        <v>1</v>
      </c>
      <c r="F80">
        <v>1</v>
      </c>
      <c r="G80">
        <v>2</v>
      </c>
      <c r="H80">
        <v>1</v>
      </c>
      <c r="I80">
        <v>1</v>
      </c>
      <c r="J80">
        <v>0</v>
      </c>
      <c r="K80">
        <v>0</v>
      </c>
      <c r="L80">
        <v>0</v>
      </c>
      <c r="M80">
        <v>100</v>
      </c>
      <c r="N80">
        <v>100</v>
      </c>
      <c r="O80">
        <v>100</v>
      </c>
      <c r="P80">
        <v>7704938</v>
      </c>
      <c r="Q80">
        <v>15375302</v>
      </c>
      <c r="R80">
        <v>34574</v>
      </c>
      <c r="S80">
        <v>7704938</v>
      </c>
      <c r="T80">
        <v>15375302</v>
      </c>
      <c r="U80">
        <v>34574</v>
      </c>
      <c r="V80">
        <v>34574</v>
      </c>
      <c r="W80">
        <v>15375302</v>
      </c>
      <c r="X80">
        <v>34574</v>
      </c>
      <c r="Y80">
        <v>15375302</v>
      </c>
      <c r="Z80">
        <v>15375302</v>
      </c>
      <c r="AA80">
        <v>34574</v>
      </c>
      <c r="AB80">
        <v>15409876</v>
      </c>
      <c r="AC80">
        <v>15375302</v>
      </c>
      <c r="AD80">
        <v>34574</v>
      </c>
    </row>
    <row r="81" spans="1:30" x14ac:dyDescent="0.3">
      <c r="A81" t="s">
        <v>40</v>
      </c>
      <c r="B81" t="s">
        <v>0</v>
      </c>
      <c r="C81" t="s">
        <v>231</v>
      </c>
      <c r="D81">
        <v>12</v>
      </c>
      <c r="E81">
        <v>8</v>
      </c>
      <c r="F81">
        <v>4</v>
      </c>
      <c r="G81">
        <v>6</v>
      </c>
      <c r="H81">
        <v>4</v>
      </c>
      <c r="I81">
        <v>2</v>
      </c>
      <c r="J81">
        <v>6</v>
      </c>
      <c r="K81">
        <v>4</v>
      </c>
      <c r="L81">
        <v>2</v>
      </c>
      <c r="M81">
        <v>50</v>
      </c>
      <c r="N81">
        <v>50</v>
      </c>
      <c r="O81">
        <v>50</v>
      </c>
      <c r="P81">
        <v>1574</v>
      </c>
      <c r="Q81">
        <v>1574</v>
      </c>
      <c r="R81">
        <v>8812</v>
      </c>
      <c r="S81">
        <v>7429</v>
      </c>
      <c r="T81">
        <v>5453</v>
      </c>
      <c r="U81">
        <v>11381</v>
      </c>
      <c r="V81">
        <v>101</v>
      </c>
      <c r="W81">
        <v>101</v>
      </c>
      <c r="X81">
        <v>658</v>
      </c>
      <c r="Y81">
        <v>27244</v>
      </c>
      <c r="Z81">
        <v>25265</v>
      </c>
      <c r="AA81">
        <v>27244</v>
      </c>
      <c r="AB81">
        <v>89148</v>
      </c>
      <c r="AC81">
        <v>43624</v>
      </c>
      <c r="AD81">
        <v>45524</v>
      </c>
    </row>
    <row r="82" spans="1:30" x14ac:dyDescent="0.3">
      <c r="A82" t="s">
        <v>61</v>
      </c>
      <c r="B82" t="s">
        <v>0</v>
      </c>
      <c r="C82" t="s">
        <v>230</v>
      </c>
      <c r="D82">
        <v>188</v>
      </c>
      <c r="E82">
        <v>178</v>
      </c>
      <c r="F82">
        <v>10</v>
      </c>
      <c r="G82">
        <v>171</v>
      </c>
      <c r="H82">
        <v>161</v>
      </c>
      <c r="I82">
        <v>10</v>
      </c>
      <c r="J82">
        <v>17</v>
      </c>
      <c r="K82">
        <v>17</v>
      </c>
      <c r="L82">
        <v>0</v>
      </c>
      <c r="M82">
        <v>91</v>
      </c>
      <c r="N82">
        <v>90.4</v>
      </c>
      <c r="O82">
        <v>100</v>
      </c>
      <c r="P82">
        <v>5113</v>
      </c>
      <c r="Q82">
        <v>5021</v>
      </c>
      <c r="R82">
        <v>14996</v>
      </c>
      <c r="S82">
        <v>302117</v>
      </c>
      <c r="T82">
        <v>267081</v>
      </c>
      <c r="U82">
        <v>925750</v>
      </c>
      <c r="V82">
        <v>3</v>
      </c>
      <c r="W82">
        <v>3</v>
      </c>
      <c r="X82">
        <v>1733</v>
      </c>
      <c r="Y82">
        <v>10801815</v>
      </c>
      <c r="Z82">
        <v>10801815</v>
      </c>
      <c r="AA82">
        <v>4731312</v>
      </c>
      <c r="AB82">
        <v>56797996</v>
      </c>
      <c r="AC82">
        <v>47540418</v>
      </c>
      <c r="AD82">
        <v>9257500</v>
      </c>
    </row>
    <row r="83" spans="1:30" x14ac:dyDescent="0.3">
      <c r="A83" t="s">
        <v>61</v>
      </c>
      <c r="B83" t="s">
        <v>0</v>
      </c>
      <c r="C83" t="s">
        <v>231</v>
      </c>
      <c r="D83">
        <v>365</v>
      </c>
      <c r="E83">
        <v>337</v>
      </c>
      <c r="F83">
        <v>28</v>
      </c>
      <c r="G83">
        <v>321</v>
      </c>
      <c r="H83">
        <v>295</v>
      </c>
      <c r="I83">
        <v>26</v>
      </c>
      <c r="J83">
        <v>44</v>
      </c>
      <c r="K83">
        <v>42</v>
      </c>
      <c r="L83">
        <v>2</v>
      </c>
      <c r="M83">
        <v>87.9</v>
      </c>
      <c r="N83">
        <v>87.5</v>
      </c>
      <c r="O83">
        <v>92.9</v>
      </c>
      <c r="P83">
        <v>68673</v>
      </c>
      <c r="Q83">
        <v>68798</v>
      </c>
      <c r="R83">
        <v>63860</v>
      </c>
      <c r="S83">
        <v>701553</v>
      </c>
      <c r="T83">
        <v>726494</v>
      </c>
      <c r="U83">
        <v>401375</v>
      </c>
      <c r="V83">
        <v>19</v>
      </c>
      <c r="W83">
        <v>29</v>
      </c>
      <c r="X83">
        <v>19</v>
      </c>
      <c r="Y83">
        <v>64923803</v>
      </c>
      <c r="Z83">
        <v>64923803</v>
      </c>
      <c r="AA83">
        <v>7207342</v>
      </c>
      <c r="AB83">
        <v>256066845</v>
      </c>
      <c r="AC83">
        <v>244828478</v>
      </c>
      <c r="AD83">
        <v>11238500</v>
      </c>
    </row>
    <row r="84" spans="1:30" x14ac:dyDescent="0.3">
      <c r="A84" t="s">
        <v>42</v>
      </c>
      <c r="B84" t="s">
        <v>0</v>
      </c>
      <c r="C84" t="s">
        <v>229</v>
      </c>
      <c r="D84">
        <v>487</v>
      </c>
      <c r="E84">
        <v>291</v>
      </c>
      <c r="F84">
        <v>196</v>
      </c>
      <c r="G84">
        <v>46</v>
      </c>
      <c r="H84">
        <v>27</v>
      </c>
      <c r="I84">
        <v>19</v>
      </c>
      <c r="J84">
        <v>441</v>
      </c>
      <c r="K84">
        <v>264</v>
      </c>
      <c r="L84">
        <v>177</v>
      </c>
      <c r="M84">
        <v>9.4</v>
      </c>
      <c r="N84">
        <v>9.3000000000000007</v>
      </c>
      <c r="O84">
        <v>9.6999999999999993</v>
      </c>
      <c r="P84">
        <v>27</v>
      </c>
      <c r="Q84">
        <v>34</v>
      </c>
      <c r="R84">
        <v>16</v>
      </c>
      <c r="S84">
        <v>27326</v>
      </c>
      <c r="T84">
        <v>26119</v>
      </c>
      <c r="U84">
        <v>29117</v>
      </c>
      <c r="V84">
        <v>0</v>
      </c>
      <c r="W84">
        <v>0</v>
      </c>
      <c r="X84">
        <v>0</v>
      </c>
      <c r="Y84">
        <v>4124009</v>
      </c>
      <c r="Z84">
        <v>4124009</v>
      </c>
      <c r="AA84">
        <v>1487946</v>
      </c>
      <c r="AB84">
        <v>13307762</v>
      </c>
      <c r="AC84">
        <v>7600629</v>
      </c>
      <c r="AD84">
        <v>5706932</v>
      </c>
    </row>
    <row r="85" spans="1:30" x14ac:dyDescent="0.3">
      <c r="A85" t="s">
        <v>101</v>
      </c>
      <c r="B85" t="s">
        <v>0</v>
      </c>
      <c r="C85" t="s">
        <v>229</v>
      </c>
      <c r="D85">
        <v>300</v>
      </c>
      <c r="E85">
        <v>95</v>
      </c>
      <c r="F85">
        <v>205</v>
      </c>
      <c r="G85">
        <v>227</v>
      </c>
      <c r="H85">
        <v>54</v>
      </c>
      <c r="I85">
        <v>173</v>
      </c>
      <c r="J85">
        <v>73</v>
      </c>
      <c r="K85">
        <v>41</v>
      </c>
      <c r="L85">
        <v>32</v>
      </c>
      <c r="M85">
        <v>75.7</v>
      </c>
      <c r="N85">
        <v>56.8</v>
      </c>
      <c r="O85">
        <v>84.4</v>
      </c>
      <c r="P85">
        <v>5903</v>
      </c>
      <c r="Q85">
        <v>1243</v>
      </c>
      <c r="R85">
        <v>12368</v>
      </c>
      <c r="S85">
        <v>186161</v>
      </c>
      <c r="T85">
        <v>70536</v>
      </c>
      <c r="U85">
        <v>239743</v>
      </c>
      <c r="V85">
        <v>1</v>
      </c>
      <c r="W85">
        <v>1</v>
      </c>
      <c r="X85">
        <v>20</v>
      </c>
      <c r="Y85">
        <v>14417151</v>
      </c>
      <c r="Z85">
        <v>2705341</v>
      </c>
      <c r="AA85">
        <v>14417151</v>
      </c>
      <c r="AB85">
        <v>55848300</v>
      </c>
      <c r="AC85">
        <v>6700920</v>
      </c>
      <c r="AD85">
        <v>49147315</v>
      </c>
    </row>
    <row r="86" spans="1:30" x14ac:dyDescent="0.3">
      <c r="A86" t="s">
        <v>101</v>
      </c>
      <c r="B86" t="s">
        <v>0</v>
      </c>
      <c r="C86" t="s">
        <v>231</v>
      </c>
      <c r="D86">
        <v>500</v>
      </c>
      <c r="E86">
        <v>151</v>
      </c>
      <c r="F86">
        <v>349</v>
      </c>
      <c r="G86">
        <v>404</v>
      </c>
      <c r="H86">
        <v>100</v>
      </c>
      <c r="I86">
        <v>304</v>
      </c>
      <c r="J86">
        <v>96</v>
      </c>
      <c r="K86">
        <v>51</v>
      </c>
      <c r="L86">
        <v>45</v>
      </c>
      <c r="M86">
        <v>80.8</v>
      </c>
      <c r="N86">
        <v>66.2</v>
      </c>
      <c r="O86">
        <v>87.1</v>
      </c>
      <c r="P86">
        <v>9451</v>
      </c>
      <c r="Q86">
        <v>1743</v>
      </c>
      <c r="R86">
        <v>22388</v>
      </c>
      <c r="S86">
        <v>190586</v>
      </c>
      <c r="T86">
        <v>47069</v>
      </c>
      <c r="U86">
        <v>252682</v>
      </c>
      <c r="V86">
        <v>12</v>
      </c>
      <c r="W86">
        <v>13</v>
      </c>
      <c r="X86">
        <v>12</v>
      </c>
      <c r="Y86">
        <v>24850213</v>
      </c>
      <c r="Z86">
        <v>2705341</v>
      </c>
      <c r="AA86">
        <v>24850213</v>
      </c>
      <c r="AB86">
        <v>95293000</v>
      </c>
      <c r="AC86">
        <v>7107419</v>
      </c>
      <c r="AD86">
        <v>88186018</v>
      </c>
    </row>
    <row r="87" spans="1:30" x14ac:dyDescent="0.3">
      <c r="A87" t="s">
        <v>105</v>
      </c>
      <c r="B87" t="s">
        <v>0</v>
      </c>
      <c r="C87" t="s">
        <v>229</v>
      </c>
      <c r="D87">
        <v>151</v>
      </c>
      <c r="E87">
        <v>51</v>
      </c>
      <c r="F87">
        <v>100</v>
      </c>
      <c r="G87">
        <v>151</v>
      </c>
      <c r="H87">
        <v>51</v>
      </c>
      <c r="I87">
        <v>100</v>
      </c>
      <c r="J87">
        <v>0</v>
      </c>
      <c r="K87">
        <v>0</v>
      </c>
      <c r="L87">
        <v>0</v>
      </c>
      <c r="M87">
        <v>100</v>
      </c>
      <c r="N87">
        <v>100</v>
      </c>
      <c r="O87">
        <v>100</v>
      </c>
      <c r="P87">
        <v>11260</v>
      </c>
      <c r="Q87">
        <v>6450</v>
      </c>
      <c r="R87">
        <v>17121</v>
      </c>
      <c r="S87">
        <v>135225</v>
      </c>
      <c r="T87">
        <v>24875</v>
      </c>
      <c r="U87">
        <v>191503</v>
      </c>
      <c r="V87">
        <v>1036</v>
      </c>
      <c r="W87">
        <v>1594</v>
      </c>
      <c r="X87">
        <v>1036</v>
      </c>
      <c r="Y87">
        <v>9701275</v>
      </c>
      <c r="Z87">
        <v>672244</v>
      </c>
      <c r="AA87">
        <v>9701275</v>
      </c>
      <c r="AB87">
        <v>20418975</v>
      </c>
      <c r="AC87">
        <v>1268625</v>
      </c>
      <c r="AD87">
        <v>19150300</v>
      </c>
    </row>
    <row r="88" spans="1:30" x14ac:dyDescent="0.3">
      <c r="A88" t="s">
        <v>105</v>
      </c>
      <c r="B88" t="s">
        <v>0</v>
      </c>
      <c r="C88" t="s">
        <v>231</v>
      </c>
      <c r="D88">
        <v>213</v>
      </c>
      <c r="E88">
        <v>92</v>
      </c>
      <c r="F88">
        <v>121</v>
      </c>
      <c r="G88">
        <v>184</v>
      </c>
      <c r="H88">
        <v>71</v>
      </c>
      <c r="I88">
        <v>113</v>
      </c>
      <c r="J88">
        <v>29</v>
      </c>
      <c r="K88">
        <v>21</v>
      </c>
      <c r="L88">
        <v>8</v>
      </c>
      <c r="M88">
        <v>86.4</v>
      </c>
      <c r="N88">
        <v>77.2</v>
      </c>
      <c r="O88">
        <v>93.4</v>
      </c>
      <c r="P88">
        <v>29837</v>
      </c>
      <c r="Q88">
        <v>28558</v>
      </c>
      <c r="R88">
        <v>30707</v>
      </c>
      <c r="S88">
        <v>286176</v>
      </c>
      <c r="T88">
        <v>520284</v>
      </c>
      <c r="U88">
        <v>108176</v>
      </c>
      <c r="V88">
        <v>5</v>
      </c>
      <c r="W88">
        <v>5</v>
      </c>
      <c r="X88">
        <v>22</v>
      </c>
      <c r="Y88">
        <v>15019065</v>
      </c>
      <c r="Z88">
        <v>15019065</v>
      </c>
      <c r="AA88">
        <v>2650620</v>
      </c>
      <c r="AB88">
        <v>60955488</v>
      </c>
      <c r="AC88">
        <v>47866128</v>
      </c>
      <c r="AD88">
        <v>13089296</v>
      </c>
    </row>
    <row r="89" spans="1:30" x14ac:dyDescent="0.3">
      <c r="A89" t="s">
        <v>93</v>
      </c>
      <c r="B89" t="s">
        <v>0</v>
      </c>
      <c r="C89" t="s">
        <v>229</v>
      </c>
      <c r="D89">
        <v>159</v>
      </c>
      <c r="E89">
        <v>104</v>
      </c>
      <c r="F89">
        <v>55</v>
      </c>
      <c r="G89">
        <v>39</v>
      </c>
      <c r="H89">
        <v>28</v>
      </c>
      <c r="I89">
        <v>11</v>
      </c>
      <c r="J89">
        <v>120</v>
      </c>
      <c r="K89">
        <v>76</v>
      </c>
      <c r="L89">
        <v>44</v>
      </c>
      <c r="M89">
        <v>24.5</v>
      </c>
      <c r="N89">
        <v>26.9</v>
      </c>
      <c r="O89">
        <v>20</v>
      </c>
      <c r="P89">
        <v>183</v>
      </c>
      <c r="Q89">
        <v>276</v>
      </c>
      <c r="R89">
        <v>116</v>
      </c>
      <c r="S89">
        <v>91672</v>
      </c>
      <c r="T89">
        <v>34978</v>
      </c>
      <c r="U89">
        <v>198875</v>
      </c>
      <c r="V89">
        <v>2</v>
      </c>
      <c r="W89">
        <v>16</v>
      </c>
      <c r="X89">
        <v>2</v>
      </c>
      <c r="Y89">
        <v>10675037</v>
      </c>
      <c r="Z89">
        <v>1129193</v>
      </c>
      <c r="AA89">
        <v>10675037</v>
      </c>
      <c r="AB89">
        <v>14575848</v>
      </c>
      <c r="AC89">
        <v>3637712</v>
      </c>
      <c r="AD89">
        <v>10938125</v>
      </c>
    </row>
    <row r="90" spans="1:30" x14ac:dyDescent="0.3">
      <c r="A90" t="s">
        <v>76</v>
      </c>
      <c r="B90" t="s">
        <v>0</v>
      </c>
      <c r="C90" t="s">
        <v>230</v>
      </c>
      <c r="D90">
        <v>7</v>
      </c>
      <c r="E90">
        <v>3</v>
      </c>
      <c r="F90">
        <v>4</v>
      </c>
      <c r="G90">
        <v>3</v>
      </c>
      <c r="H90">
        <v>1</v>
      </c>
      <c r="I90">
        <v>2</v>
      </c>
      <c r="J90">
        <v>4</v>
      </c>
      <c r="K90">
        <v>2</v>
      </c>
      <c r="L90">
        <v>2</v>
      </c>
      <c r="M90">
        <v>42.9</v>
      </c>
      <c r="N90">
        <v>33.299999999999997</v>
      </c>
      <c r="O90">
        <v>50</v>
      </c>
      <c r="P90">
        <v>631</v>
      </c>
      <c r="Q90">
        <v>612</v>
      </c>
      <c r="R90">
        <v>143288</v>
      </c>
      <c r="S90">
        <v>1428525</v>
      </c>
      <c r="T90">
        <v>3066730</v>
      </c>
      <c r="U90">
        <v>199871</v>
      </c>
      <c r="V90">
        <v>434</v>
      </c>
      <c r="W90">
        <v>514</v>
      </c>
      <c r="X90">
        <v>434</v>
      </c>
      <c r="Y90">
        <v>9199064</v>
      </c>
      <c r="Z90">
        <v>9199064</v>
      </c>
      <c r="AA90">
        <v>512476</v>
      </c>
      <c r="AB90">
        <v>9999675</v>
      </c>
      <c r="AC90">
        <v>9200190</v>
      </c>
      <c r="AD90">
        <v>799484</v>
      </c>
    </row>
    <row r="91" spans="1:30" x14ac:dyDescent="0.3">
      <c r="A91" t="s">
        <v>112</v>
      </c>
      <c r="B91" t="s">
        <v>0</v>
      </c>
      <c r="C91" t="s">
        <v>229</v>
      </c>
      <c r="D91">
        <v>150</v>
      </c>
      <c r="E91">
        <v>31</v>
      </c>
      <c r="F91">
        <v>119</v>
      </c>
      <c r="G91">
        <v>147</v>
      </c>
      <c r="H91">
        <v>28</v>
      </c>
      <c r="I91">
        <v>119</v>
      </c>
      <c r="J91">
        <v>3</v>
      </c>
      <c r="K91">
        <v>3</v>
      </c>
      <c r="L91">
        <v>0</v>
      </c>
      <c r="M91">
        <v>98</v>
      </c>
      <c r="N91">
        <v>90.3</v>
      </c>
      <c r="O91">
        <v>100</v>
      </c>
      <c r="P91">
        <v>493300</v>
      </c>
      <c r="Q91">
        <v>52278</v>
      </c>
      <c r="R91">
        <v>811098</v>
      </c>
      <c r="S91">
        <v>2664123</v>
      </c>
      <c r="T91">
        <v>1312161</v>
      </c>
      <c r="U91">
        <v>3016315</v>
      </c>
      <c r="V91">
        <v>85</v>
      </c>
      <c r="W91">
        <v>85</v>
      </c>
      <c r="X91">
        <v>1081</v>
      </c>
      <c r="Y91">
        <v>33352064</v>
      </c>
      <c r="Z91">
        <v>19928240</v>
      </c>
      <c r="AA91">
        <v>33352064</v>
      </c>
      <c r="AB91">
        <v>399618450</v>
      </c>
      <c r="AC91">
        <v>40676991</v>
      </c>
      <c r="AD91">
        <v>358941485</v>
      </c>
    </row>
    <row r="92" spans="1:30" x14ac:dyDescent="0.3">
      <c r="A92" t="s">
        <v>80</v>
      </c>
      <c r="B92" t="s">
        <v>0</v>
      </c>
      <c r="C92" t="s">
        <v>229</v>
      </c>
      <c r="D92">
        <v>188</v>
      </c>
      <c r="E92">
        <v>115</v>
      </c>
      <c r="F92">
        <v>73</v>
      </c>
      <c r="G92">
        <v>76</v>
      </c>
      <c r="H92">
        <v>40</v>
      </c>
      <c r="I92">
        <v>36</v>
      </c>
      <c r="J92">
        <v>112</v>
      </c>
      <c r="K92">
        <v>75</v>
      </c>
      <c r="L92">
        <v>37</v>
      </c>
      <c r="M92">
        <v>40.4</v>
      </c>
      <c r="N92">
        <v>34.799999999999997</v>
      </c>
      <c r="O92">
        <v>49.3</v>
      </c>
      <c r="P92">
        <v>455</v>
      </c>
      <c r="Q92">
        <v>297</v>
      </c>
      <c r="R92">
        <v>686</v>
      </c>
      <c r="S92">
        <v>3437290</v>
      </c>
      <c r="T92">
        <v>1229059</v>
      </c>
      <c r="U92">
        <v>6916009</v>
      </c>
      <c r="V92">
        <v>0</v>
      </c>
      <c r="W92">
        <v>0</v>
      </c>
      <c r="X92">
        <v>5</v>
      </c>
      <c r="Y92">
        <v>414639441</v>
      </c>
      <c r="Z92">
        <v>49511836</v>
      </c>
      <c r="AA92">
        <v>414639441</v>
      </c>
      <c r="AB92">
        <v>646210520</v>
      </c>
      <c r="AC92">
        <v>141341785</v>
      </c>
      <c r="AD92">
        <v>504868657</v>
      </c>
    </row>
    <row r="93" spans="1:30" x14ac:dyDescent="0.3">
      <c r="A93" t="s">
        <v>37</v>
      </c>
      <c r="B93" t="s">
        <v>0</v>
      </c>
      <c r="C93" t="s">
        <v>231</v>
      </c>
      <c r="D93">
        <v>500</v>
      </c>
      <c r="E93">
        <v>432</v>
      </c>
      <c r="F93">
        <v>68</v>
      </c>
      <c r="G93">
        <v>236</v>
      </c>
      <c r="H93">
        <v>208</v>
      </c>
      <c r="I93">
        <v>28</v>
      </c>
      <c r="J93">
        <v>264</v>
      </c>
      <c r="K93">
        <v>224</v>
      </c>
      <c r="L93">
        <v>40</v>
      </c>
      <c r="M93">
        <v>47.2</v>
      </c>
      <c r="N93">
        <v>48.1</v>
      </c>
      <c r="O93">
        <v>41.2</v>
      </c>
      <c r="P93">
        <v>910</v>
      </c>
      <c r="Q93">
        <v>917</v>
      </c>
      <c r="R93">
        <v>323</v>
      </c>
      <c r="S93">
        <v>106405</v>
      </c>
      <c r="T93">
        <v>117726</v>
      </c>
      <c r="U93">
        <v>34488</v>
      </c>
      <c r="V93">
        <v>0</v>
      </c>
      <c r="W93">
        <v>0</v>
      </c>
      <c r="X93">
        <v>16</v>
      </c>
      <c r="Y93">
        <v>12397221</v>
      </c>
      <c r="Z93">
        <v>12397221</v>
      </c>
      <c r="AA93">
        <v>1241712</v>
      </c>
      <c r="AB93">
        <v>53202500</v>
      </c>
      <c r="AC93">
        <v>50857632</v>
      </c>
      <c r="AD93">
        <v>2345184</v>
      </c>
    </row>
    <row r="94" spans="1:30" x14ac:dyDescent="0.3">
      <c r="A94" t="s">
        <v>104</v>
      </c>
      <c r="B94" t="s">
        <v>0</v>
      </c>
      <c r="C94" t="s">
        <v>229</v>
      </c>
      <c r="D94">
        <v>100</v>
      </c>
      <c r="E94">
        <v>80</v>
      </c>
      <c r="F94">
        <v>20</v>
      </c>
      <c r="G94">
        <v>52</v>
      </c>
      <c r="H94">
        <v>45</v>
      </c>
      <c r="I94">
        <v>7</v>
      </c>
      <c r="J94">
        <v>48</v>
      </c>
      <c r="K94">
        <v>35</v>
      </c>
      <c r="L94">
        <v>13</v>
      </c>
      <c r="M94">
        <v>52</v>
      </c>
      <c r="N94">
        <v>56.2</v>
      </c>
      <c r="O94">
        <v>35</v>
      </c>
      <c r="P94">
        <v>1118</v>
      </c>
      <c r="Q94">
        <v>1418</v>
      </c>
      <c r="R94">
        <v>754</v>
      </c>
      <c r="S94">
        <v>159169</v>
      </c>
      <c r="T94">
        <v>190701</v>
      </c>
      <c r="U94">
        <v>33039</v>
      </c>
      <c r="V94">
        <v>1</v>
      </c>
      <c r="W94">
        <v>1</v>
      </c>
      <c r="X94">
        <v>23</v>
      </c>
      <c r="Y94">
        <v>13602689</v>
      </c>
      <c r="Z94">
        <v>13602689</v>
      </c>
      <c r="AA94">
        <v>508562</v>
      </c>
      <c r="AB94">
        <v>15916900</v>
      </c>
      <c r="AC94">
        <v>15256080</v>
      </c>
      <c r="AD94">
        <v>660780</v>
      </c>
    </row>
    <row r="95" spans="1:30" x14ac:dyDescent="0.3">
      <c r="A95" t="s">
        <v>104</v>
      </c>
      <c r="B95" t="s">
        <v>0</v>
      </c>
      <c r="C95" t="s">
        <v>230</v>
      </c>
      <c r="D95">
        <v>108</v>
      </c>
      <c r="E95">
        <v>97</v>
      </c>
      <c r="F95">
        <v>11</v>
      </c>
      <c r="G95">
        <v>31</v>
      </c>
      <c r="H95">
        <v>31</v>
      </c>
      <c r="I95">
        <v>0</v>
      </c>
      <c r="J95">
        <v>77</v>
      </c>
      <c r="K95">
        <v>66</v>
      </c>
      <c r="L95">
        <v>11</v>
      </c>
      <c r="M95">
        <v>28.7</v>
      </c>
      <c r="N95">
        <v>32</v>
      </c>
      <c r="O95">
        <v>0</v>
      </c>
      <c r="P95">
        <v>431</v>
      </c>
      <c r="Q95">
        <v>544</v>
      </c>
      <c r="R95">
        <v>35</v>
      </c>
      <c r="S95">
        <v>19453</v>
      </c>
      <c r="T95">
        <v>21648</v>
      </c>
      <c r="U95">
        <v>98</v>
      </c>
      <c r="V95">
        <v>0</v>
      </c>
      <c r="W95">
        <v>0</v>
      </c>
      <c r="X95">
        <v>1</v>
      </c>
      <c r="Y95">
        <v>532672</v>
      </c>
      <c r="Z95">
        <v>532672</v>
      </c>
      <c r="AA95">
        <v>395</v>
      </c>
      <c r="AB95">
        <v>2100924</v>
      </c>
      <c r="AC95">
        <v>2099856</v>
      </c>
      <c r="AD95">
        <v>1078</v>
      </c>
    </row>
    <row r="96" spans="1:30" x14ac:dyDescent="0.3">
      <c r="A96" t="s">
        <v>104</v>
      </c>
      <c r="B96" t="s">
        <v>0</v>
      </c>
      <c r="C96" t="s">
        <v>231</v>
      </c>
      <c r="D96">
        <v>132</v>
      </c>
      <c r="E96">
        <v>106</v>
      </c>
      <c r="F96">
        <v>26</v>
      </c>
      <c r="G96">
        <v>65</v>
      </c>
      <c r="H96">
        <v>48</v>
      </c>
      <c r="I96">
        <v>17</v>
      </c>
      <c r="J96">
        <v>67</v>
      </c>
      <c r="K96">
        <v>58</v>
      </c>
      <c r="L96">
        <v>9</v>
      </c>
      <c r="M96">
        <v>49.2</v>
      </c>
      <c r="N96">
        <v>45.3</v>
      </c>
      <c r="O96">
        <v>65.400000000000006</v>
      </c>
      <c r="P96">
        <v>714</v>
      </c>
      <c r="Q96">
        <v>625</v>
      </c>
      <c r="R96">
        <v>2216</v>
      </c>
      <c r="S96">
        <v>59713</v>
      </c>
      <c r="T96">
        <v>65658</v>
      </c>
      <c r="U96">
        <v>35476</v>
      </c>
      <c r="V96">
        <v>7</v>
      </c>
      <c r="W96">
        <v>7</v>
      </c>
      <c r="X96">
        <v>42</v>
      </c>
      <c r="Y96">
        <v>2235275</v>
      </c>
      <c r="Z96">
        <v>2235275</v>
      </c>
      <c r="AA96">
        <v>508553</v>
      </c>
      <c r="AB96">
        <v>7882116</v>
      </c>
      <c r="AC96">
        <v>6959748</v>
      </c>
      <c r="AD96">
        <v>922376</v>
      </c>
    </row>
    <row r="97" spans="1:30" x14ac:dyDescent="0.3">
      <c r="A97" t="s">
        <v>57</v>
      </c>
      <c r="B97" t="s">
        <v>0</v>
      </c>
      <c r="C97" t="s">
        <v>229</v>
      </c>
      <c r="D97">
        <v>400</v>
      </c>
      <c r="E97">
        <v>92</v>
      </c>
      <c r="F97">
        <v>308</v>
      </c>
      <c r="G97">
        <v>352</v>
      </c>
      <c r="H97">
        <v>48</v>
      </c>
      <c r="I97">
        <v>304</v>
      </c>
      <c r="J97">
        <v>48</v>
      </c>
      <c r="K97">
        <v>44</v>
      </c>
      <c r="L97">
        <v>4</v>
      </c>
      <c r="M97">
        <v>88</v>
      </c>
      <c r="N97">
        <v>52.2</v>
      </c>
      <c r="O97">
        <v>98.7</v>
      </c>
      <c r="P97">
        <v>49007</v>
      </c>
      <c r="Q97">
        <v>1006</v>
      </c>
      <c r="R97">
        <v>111712</v>
      </c>
      <c r="S97">
        <v>340126</v>
      </c>
      <c r="T97">
        <v>46829</v>
      </c>
      <c r="U97">
        <v>427734</v>
      </c>
      <c r="V97">
        <v>103</v>
      </c>
      <c r="W97">
        <v>103</v>
      </c>
      <c r="X97">
        <v>187</v>
      </c>
      <c r="Y97">
        <v>9687741</v>
      </c>
      <c r="Z97">
        <v>1796715</v>
      </c>
      <c r="AA97">
        <v>9687741</v>
      </c>
      <c r="AB97">
        <v>136050400</v>
      </c>
      <c r="AC97">
        <v>4308268</v>
      </c>
      <c r="AD97">
        <v>131742072</v>
      </c>
    </row>
    <row r="98" spans="1:30" x14ac:dyDescent="0.3">
      <c r="A98" t="s">
        <v>38</v>
      </c>
      <c r="B98" t="s">
        <v>0</v>
      </c>
      <c r="C98" t="s">
        <v>229</v>
      </c>
      <c r="D98">
        <v>200</v>
      </c>
      <c r="E98">
        <v>171</v>
      </c>
      <c r="F98">
        <v>29</v>
      </c>
      <c r="G98">
        <v>86</v>
      </c>
      <c r="H98">
        <v>72</v>
      </c>
      <c r="I98">
        <v>14</v>
      </c>
      <c r="J98">
        <v>114</v>
      </c>
      <c r="K98">
        <v>99</v>
      </c>
      <c r="L98">
        <v>15</v>
      </c>
      <c r="M98">
        <v>43</v>
      </c>
      <c r="N98">
        <v>42.1</v>
      </c>
      <c r="O98">
        <v>48.3</v>
      </c>
      <c r="P98">
        <v>598</v>
      </c>
      <c r="Q98">
        <v>602</v>
      </c>
      <c r="R98">
        <v>472</v>
      </c>
      <c r="S98">
        <v>69288</v>
      </c>
      <c r="T98">
        <v>44651</v>
      </c>
      <c r="U98">
        <v>214561</v>
      </c>
      <c r="V98">
        <v>9</v>
      </c>
      <c r="W98">
        <v>9</v>
      </c>
      <c r="X98">
        <v>34</v>
      </c>
      <c r="Y98">
        <v>5340373</v>
      </c>
      <c r="Z98">
        <v>1009085</v>
      </c>
      <c r="AA98">
        <v>5340373</v>
      </c>
      <c r="AB98">
        <v>13857600</v>
      </c>
      <c r="AC98">
        <v>7635321</v>
      </c>
      <c r="AD98">
        <v>6222269</v>
      </c>
    </row>
    <row r="99" spans="1:30" x14ac:dyDescent="0.3">
      <c r="A99" t="s">
        <v>111</v>
      </c>
      <c r="B99" t="s">
        <v>0</v>
      </c>
      <c r="C99" t="s">
        <v>229</v>
      </c>
      <c r="D99">
        <v>238</v>
      </c>
      <c r="E99">
        <v>183</v>
      </c>
      <c r="F99">
        <v>55</v>
      </c>
      <c r="G99">
        <v>115</v>
      </c>
      <c r="H99">
        <v>94</v>
      </c>
      <c r="I99">
        <v>21</v>
      </c>
      <c r="J99">
        <v>123</v>
      </c>
      <c r="K99">
        <v>89</v>
      </c>
      <c r="L99">
        <v>34</v>
      </c>
      <c r="M99">
        <v>48.3</v>
      </c>
      <c r="N99">
        <v>51.4</v>
      </c>
      <c r="O99">
        <v>38.200000000000003</v>
      </c>
      <c r="P99">
        <v>869</v>
      </c>
      <c r="Q99">
        <v>1201</v>
      </c>
      <c r="R99">
        <v>462</v>
      </c>
      <c r="S99">
        <v>369605</v>
      </c>
      <c r="T99">
        <v>331314</v>
      </c>
      <c r="U99">
        <v>497010</v>
      </c>
      <c r="V99">
        <v>0</v>
      </c>
      <c r="W99">
        <v>12</v>
      </c>
      <c r="X99">
        <v>0</v>
      </c>
      <c r="Y99">
        <v>26905837</v>
      </c>
      <c r="Z99">
        <v>26905837</v>
      </c>
      <c r="AA99">
        <v>23611411</v>
      </c>
      <c r="AB99">
        <v>87965990</v>
      </c>
      <c r="AC99">
        <v>60630462</v>
      </c>
      <c r="AD99">
        <v>27335550</v>
      </c>
    </row>
    <row r="100" spans="1:30" x14ac:dyDescent="0.3">
      <c r="A100" t="s">
        <v>72</v>
      </c>
      <c r="B100" t="s">
        <v>0</v>
      </c>
      <c r="C100" t="s">
        <v>229</v>
      </c>
      <c r="D100">
        <v>425</v>
      </c>
      <c r="E100">
        <v>244</v>
      </c>
      <c r="F100">
        <v>181</v>
      </c>
      <c r="G100">
        <v>317</v>
      </c>
      <c r="H100">
        <v>161</v>
      </c>
      <c r="I100">
        <v>156</v>
      </c>
      <c r="J100">
        <v>108</v>
      </c>
      <c r="K100">
        <v>83</v>
      </c>
      <c r="L100">
        <v>25</v>
      </c>
      <c r="M100">
        <v>74.599999999999994</v>
      </c>
      <c r="N100">
        <v>66</v>
      </c>
      <c r="O100">
        <v>86.2</v>
      </c>
      <c r="P100">
        <v>10775</v>
      </c>
      <c r="Q100">
        <v>3264</v>
      </c>
      <c r="R100">
        <v>36205</v>
      </c>
      <c r="S100">
        <v>1331278</v>
      </c>
      <c r="T100">
        <v>549447</v>
      </c>
      <c r="U100">
        <v>2385238</v>
      </c>
      <c r="V100">
        <v>9</v>
      </c>
      <c r="W100">
        <v>16</v>
      </c>
      <c r="X100">
        <v>9</v>
      </c>
      <c r="Y100">
        <v>85279153</v>
      </c>
      <c r="Z100">
        <v>33270481</v>
      </c>
      <c r="AA100">
        <v>85279153</v>
      </c>
      <c r="AB100">
        <v>565793150</v>
      </c>
      <c r="AC100">
        <v>134065068</v>
      </c>
      <c r="AD100">
        <v>431728078</v>
      </c>
    </row>
    <row r="101" spans="1:30" x14ac:dyDescent="0.3">
      <c r="A101" t="s">
        <v>96</v>
      </c>
      <c r="B101" t="s">
        <v>0</v>
      </c>
      <c r="C101" t="s">
        <v>229</v>
      </c>
      <c r="D101">
        <v>355</v>
      </c>
      <c r="E101">
        <v>277</v>
      </c>
      <c r="F101">
        <v>78</v>
      </c>
      <c r="G101">
        <v>76</v>
      </c>
      <c r="H101">
        <v>62</v>
      </c>
      <c r="I101">
        <v>14</v>
      </c>
      <c r="J101">
        <v>279</v>
      </c>
      <c r="K101">
        <v>215</v>
      </c>
      <c r="L101">
        <v>64</v>
      </c>
      <c r="M101">
        <v>21.4</v>
      </c>
      <c r="N101">
        <v>22.4</v>
      </c>
      <c r="O101">
        <v>17.899999999999999</v>
      </c>
      <c r="P101">
        <v>191</v>
      </c>
      <c r="Q101">
        <v>212</v>
      </c>
      <c r="R101">
        <v>120</v>
      </c>
      <c r="S101">
        <v>15489</v>
      </c>
      <c r="T101">
        <v>17011</v>
      </c>
      <c r="U101">
        <v>10085</v>
      </c>
      <c r="V101">
        <v>0</v>
      </c>
      <c r="W101">
        <v>1</v>
      </c>
      <c r="X101">
        <v>0</v>
      </c>
      <c r="Y101">
        <v>2862047</v>
      </c>
      <c r="Z101">
        <v>2862047</v>
      </c>
      <c r="AA101">
        <v>384280</v>
      </c>
      <c r="AB101">
        <v>5498595</v>
      </c>
      <c r="AC101">
        <v>4712047</v>
      </c>
      <c r="AD101">
        <v>786630</v>
      </c>
    </row>
    <row r="102" spans="1:30" x14ac:dyDescent="0.3">
      <c r="A102" t="s">
        <v>96</v>
      </c>
      <c r="B102" t="s">
        <v>0</v>
      </c>
      <c r="C102" t="s">
        <v>230</v>
      </c>
      <c r="D102">
        <v>295</v>
      </c>
      <c r="E102">
        <v>240</v>
      </c>
      <c r="F102">
        <v>55</v>
      </c>
      <c r="G102">
        <v>193</v>
      </c>
      <c r="H102">
        <v>161</v>
      </c>
      <c r="I102">
        <v>32</v>
      </c>
      <c r="J102">
        <v>102</v>
      </c>
      <c r="K102">
        <v>79</v>
      </c>
      <c r="L102">
        <v>23</v>
      </c>
      <c r="M102">
        <v>65.400000000000006</v>
      </c>
      <c r="N102">
        <v>67.099999999999994</v>
      </c>
      <c r="O102">
        <v>58.2</v>
      </c>
      <c r="P102">
        <v>1512</v>
      </c>
      <c r="Q102">
        <v>1440</v>
      </c>
      <c r="R102">
        <v>1793</v>
      </c>
      <c r="S102">
        <v>18860</v>
      </c>
      <c r="T102">
        <v>20356</v>
      </c>
      <c r="U102">
        <v>12335</v>
      </c>
      <c r="V102">
        <v>1</v>
      </c>
      <c r="W102">
        <v>1</v>
      </c>
      <c r="X102">
        <v>3</v>
      </c>
      <c r="Y102">
        <v>2881090</v>
      </c>
      <c r="Z102">
        <v>2881090</v>
      </c>
      <c r="AA102">
        <v>169047</v>
      </c>
      <c r="AB102">
        <v>5563700</v>
      </c>
      <c r="AC102">
        <v>4885440</v>
      </c>
      <c r="AD102">
        <v>678425</v>
      </c>
    </row>
    <row r="103" spans="1:30" x14ac:dyDescent="0.3">
      <c r="A103" t="s">
        <v>96</v>
      </c>
      <c r="B103" t="s">
        <v>0</v>
      </c>
      <c r="C103" t="s">
        <v>231</v>
      </c>
      <c r="D103">
        <v>106</v>
      </c>
      <c r="E103">
        <v>67</v>
      </c>
      <c r="F103">
        <v>39</v>
      </c>
      <c r="G103">
        <v>19</v>
      </c>
      <c r="H103">
        <v>9</v>
      </c>
      <c r="I103">
        <v>10</v>
      </c>
      <c r="J103">
        <v>87</v>
      </c>
      <c r="K103">
        <v>58</v>
      </c>
      <c r="L103">
        <v>29</v>
      </c>
      <c r="M103">
        <v>17.899999999999999</v>
      </c>
      <c r="N103">
        <v>13.4</v>
      </c>
      <c r="O103">
        <v>25.6</v>
      </c>
      <c r="P103">
        <v>93</v>
      </c>
      <c r="Q103">
        <v>77</v>
      </c>
      <c r="R103">
        <v>135</v>
      </c>
      <c r="S103">
        <v>16680</v>
      </c>
      <c r="T103">
        <v>23680</v>
      </c>
      <c r="U103">
        <v>4654</v>
      </c>
      <c r="V103">
        <v>7</v>
      </c>
      <c r="W103">
        <v>7</v>
      </c>
      <c r="X103">
        <v>11</v>
      </c>
      <c r="Y103">
        <v>904539</v>
      </c>
      <c r="Z103">
        <v>904539</v>
      </c>
      <c r="AA103">
        <v>100533</v>
      </c>
      <c r="AB103">
        <v>1768080</v>
      </c>
      <c r="AC103">
        <v>1586560</v>
      </c>
      <c r="AD103">
        <v>181506</v>
      </c>
    </row>
    <row r="104" spans="1:30" x14ac:dyDescent="0.3">
      <c r="A104" t="s">
        <v>36</v>
      </c>
      <c r="B104" t="s">
        <v>0</v>
      </c>
      <c r="C104" t="s">
        <v>229</v>
      </c>
      <c r="D104">
        <v>248</v>
      </c>
      <c r="E104">
        <v>114</v>
      </c>
      <c r="F104">
        <v>134</v>
      </c>
      <c r="G104">
        <v>187</v>
      </c>
      <c r="H104">
        <v>59</v>
      </c>
      <c r="I104">
        <v>128</v>
      </c>
      <c r="J104">
        <v>61</v>
      </c>
      <c r="K104">
        <v>55</v>
      </c>
      <c r="L104">
        <v>6</v>
      </c>
      <c r="M104">
        <v>75.400000000000006</v>
      </c>
      <c r="N104">
        <v>51.8</v>
      </c>
      <c r="O104">
        <v>95.5</v>
      </c>
      <c r="P104">
        <v>92024</v>
      </c>
      <c r="Q104">
        <v>1494</v>
      </c>
      <c r="R104">
        <v>210593</v>
      </c>
      <c r="S104">
        <v>1436711</v>
      </c>
      <c r="T104">
        <v>1348176</v>
      </c>
      <c r="U104">
        <v>1512032</v>
      </c>
      <c r="V104">
        <v>4</v>
      </c>
      <c r="W104">
        <v>4</v>
      </c>
      <c r="X104">
        <v>35</v>
      </c>
      <c r="Y104">
        <v>116011557</v>
      </c>
      <c r="Z104">
        <v>116011557</v>
      </c>
      <c r="AA104">
        <v>26103772</v>
      </c>
      <c r="AB104">
        <v>356304328</v>
      </c>
      <c r="AC104">
        <v>153692064</v>
      </c>
      <c r="AD104">
        <v>202612288</v>
      </c>
    </row>
    <row r="105" spans="1:30" x14ac:dyDescent="0.3">
      <c r="A105" t="s">
        <v>36</v>
      </c>
      <c r="B105" t="s">
        <v>0</v>
      </c>
      <c r="C105" t="s">
        <v>230</v>
      </c>
      <c r="D105">
        <v>56</v>
      </c>
      <c r="E105">
        <v>43</v>
      </c>
      <c r="F105">
        <v>13</v>
      </c>
      <c r="G105">
        <v>48</v>
      </c>
      <c r="H105">
        <v>38</v>
      </c>
      <c r="I105">
        <v>10</v>
      </c>
      <c r="J105">
        <v>8</v>
      </c>
      <c r="K105">
        <v>5</v>
      </c>
      <c r="L105">
        <v>3</v>
      </c>
      <c r="M105">
        <v>85.7</v>
      </c>
      <c r="N105">
        <v>88.4</v>
      </c>
      <c r="O105">
        <v>76.900000000000006</v>
      </c>
      <c r="P105">
        <v>422860</v>
      </c>
      <c r="Q105">
        <v>501789</v>
      </c>
      <c r="R105">
        <v>212867</v>
      </c>
      <c r="S105">
        <v>3154290</v>
      </c>
      <c r="T105">
        <v>3967776</v>
      </c>
      <c r="U105">
        <v>463528</v>
      </c>
      <c r="V105">
        <v>5</v>
      </c>
      <c r="W105">
        <v>5</v>
      </c>
      <c r="X105">
        <v>45</v>
      </c>
      <c r="Y105">
        <v>53894753</v>
      </c>
      <c r="Z105">
        <v>53894753</v>
      </c>
      <c r="AA105">
        <v>1924774</v>
      </c>
      <c r="AB105">
        <v>176640240</v>
      </c>
      <c r="AC105">
        <v>170614368</v>
      </c>
      <c r="AD105">
        <v>6025864</v>
      </c>
    </row>
    <row r="106" spans="1:30" x14ac:dyDescent="0.3">
      <c r="A106" t="s">
        <v>36</v>
      </c>
      <c r="B106" t="s">
        <v>0</v>
      </c>
      <c r="C106" t="s">
        <v>231</v>
      </c>
      <c r="D106">
        <v>50</v>
      </c>
      <c r="E106">
        <v>32</v>
      </c>
      <c r="F106">
        <v>18</v>
      </c>
      <c r="G106">
        <v>25</v>
      </c>
      <c r="H106">
        <v>10</v>
      </c>
      <c r="I106">
        <v>15</v>
      </c>
      <c r="J106">
        <v>25</v>
      </c>
      <c r="K106">
        <v>22</v>
      </c>
      <c r="L106">
        <v>3</v>
      </c>
      <c r="M106">
        <v>50</v>
      </c>
      <c r="N106">
        <v>31.2</v>
      </c>
      <c r="O106">
        <v>83.3</v>
      </c>
      <c r="P106">
        <v>6411</v>
      </c>
      <c r="Q106">
        <v>79</v>
      </c>
      <c r="R106">
        <v>149935</v>
      </c>
      <c r="S106">
        <v>1022312</v>
      </c>
      <c r="T106">
        <v>853695</v>
      </c>
      <c r="U106">
        <v>1322075</v>
      </c>
      <c r="V106">
        <v>8</v>
      </c>
      <c r="W106">
        <v>8</v>
      </c>
      <c r="X106">
        <v>68</v>
      </c>
      <c r="Y106">
        <v>24091150</v>
      </c>
      <c r="Z106">
        <v>24091150</v>
      </c>
      <c r="AA106">
        <v>18955841</v>
      </c>
      <c r="AB106">
        <v>51115600</v>
      </c>
      <c r="AC106">
        <v>27318240</v>
      </c>
      <c r="AD106">
        <v>23797350</v>
      </c>
    </row>
    <row r="107" spans="1:30" x14ac:dyDescent="0.3">
      <c r="A107" t="s">
        <v>56</v>
      </c>
      <c r="B107" t="s">
        <v>0</v>
      </c>
      <c r="C107" t="s">
        <v>230</v>
      </c>
      <c r="D107">
        <v>110</v>
      </c>
      <c r="E107">
        <v>73</v>
      </c>
      <c r="F107">
        <v>37</v>
      </c>
      <c r="G107">
        <v>54</v>
      </c>
      <c r="H107">
        <v>43</v>
      </c>
      <c r="I107">
        <v>11</v>
      </c>
      <c r="J107">
        <v>56</v>
      </c>
      <c r="K107">
        <v>30</v>
      </c>
      <c r="L107">
        <v>26</v>
      </c>
      <c r="M107">
        <v>49.1</v>
      </c>
      <c r="N107">
        <v>58.9</v>
      </c>
      <c r="O107">
        <v>29.7</v>
      </c>
      <c r="P107">
        <v>900</v>
      </c>
      <c r="Q107">
        <v>1775</v>
      </c>
      <c r="R107">
        <v>343</v>
      </c>
      <c r="S107">
        <v>185924</v>
      </c>
      <c r="T107">
        <v>276882</v>
      </c>
      <c r="U107">
        <v>6466</v>
      </c>
      <c r="V107">
        <v>0</v>
      </c>
      <c r="W107">
        <v>0</v>
      </c>
      <c r="X107">
        <v>3</v>
      </c>
      <c r="Y107">
        <v>13736553</v>
      </c>
      <c r="Z107">
        <v>13736553</v>
      </c>
      <c r="AA107">
        <v>77837</v>
      </c>
      <c r="AB107">
        <v>20451640</v>
      </c>
      <c r="AC107">
        <v>20212386</v>
      </c>
      <c r="AD107">
        <v>239242</v>
      </c>
    </row>
    <row r="108" spans="1:30" x14ac:dyDescent="0.3">
      <c r="A108" t="s">
        <v>56</v>
      </c>
      <c r="B108" t="s">
        <v>0</v>
      </c>
      <c r="C108" t="s">
        <v>231</v>
      </c>
      <c r="D108">
        <v>450</v>
      </c>
      <c r="E108">
        <v>315</v>
      </c>
      <c r="F108">
        <v>135</v>
      </c>
      <c r="G108">
        <v>318</v>
      </c>
      <c r="H108">
        <v>235</v>
      </c>
      <c r="I108">
        <v>83</v>
      </c>
      <c r="J108">
        <v>132</v>
      </c>
      <c r="K108">
        <v>80</v>
      </c>
      <c r="L108">
        <v>52</v>
      </c>
      <c r="M108">
        <v>70.7</v>
      </c>
      <c r="N108">
        <v>74.599999999999994</v>
      </c>
      <c r="O108">
        <v>61.5</v>
      </c>
      <c r="P108">
        <v>48464</v>
      </c>
      <c r="Q108">
        <v>95587</v>
      </c>
      <c r="R108">
        <v>27410</v>
      </c>
      <c r="S108">
        <v>1940442</v>
      </c>
      <c r="T108">
        <v>2453282</v>
      </c>
      <c r="U108">
        <v>743816</v>
      </c>
      <c r="V108">
        <v>2</v>
      </c>
      <c r="W108">
        <v>2</v>
      </c>
      <c r="X108">
        <v>3</v>
      </c>
      <c r="Y108">
        <v>79775060</v>
      </c>
      <c r="Z108">
        <v>79775060</v>
      </c>
      <c r="AA108">
        <v>35796380</v>
      </c>
      <c r="AB108">
        <v>873198900</v>
      </c>
      <c r="AC108">
        <v>772783830</v>
      </c>
      <c r="AD108">
        <v>100415160</v>
      </c>
    </row>
    <row r="109" spans="1:30" x14ac:dyDescent="0.3">
      <c r="A109" t="s">
        <v>55</v>
      </c>
      <c r="B109" t="s">
        <v>0</v>
      </c>
      <c r="C109" t="s">
        <v>231</v>
      </c>
      <c r="D109">
        <v>308</v>
      </c>
      <c r="E109">
        <v>98</v>
      </c>
      <c r="F109">
        <v>210</v>
      </c>
      <c r="G109">
        <v>180</v>
      </c>
      <c r="H109">
        <v>54</v>
      </c>
      <c r="I109">
        <v>126</v>
      </c>
      <c r="J109">
        <v>128</v>
      </c>
      <c r="K109">
        <v>44</v>
      </c>
      <c r="L109">
        <v>84</v>
      </c>
      <c r="M109">
        <v>58.4</v>
      </c>
      <c r="N109">
        <v>55.1</v>
      </c>
      <c r="O109">
        <v>60</v>
      </c>
      <c r="P109">
        <v>2016</v>
      </c>
      <c r="Q109">
        <v>1492</v>
      </c>
      <c r="R109">
        <v>2327</v>
      </c>
      <c r="S109">
        <v>130453</v>
      </c>
      <c r="T109">
        <v>46201</v>
      </c>
      <c r="U109">
        <v>169770</v>
      </c>
      <c r="V109">
        <v>0</v>
      </c>
      <c r="W109">
        <v>9</v>
      </c>
      <c r="X109">
        <v>0</v>
      </c>
      <c r="Y109">
        <v>3504407</v>
      </c>
      <c r="Z109">
        <v>2945165</v>
      </c>
      <c r="AA109">
        <v>3504407</v>
      </c>
      <c r="AB109">
        <v>40179524</v>
      </c>
      <c r="AC109">
        <v>4527698</v>
      </c>
      <c r="AD109">
        <v>35651700</v>
      </c>
    </row>
    <row r="110" spans="1:30" x14ac:dyDescent="0.3">
      <c r="A110" t="s">
        <v>54</v>
      </c>
      <c r="B110" t="s">
        <v>0</v>
      </c>
      <c r="C110" t="s">
        <v>230</v>
      </c>
      <c r="D110">
        <v>400</v>
      </c>
      <c r="E110">
        <v>379</v>
      </c>
      <c r="F110">
        <v>21</v>
      </c>
      <c r="G110">
        <v>366</v>
      </c>
      <c r="H110">
        <v>345</v>
      </c>
      <c r="I110">
        <v>21</v>
      </c>
      <c r="J110">
        <v>34</v>
      </c>
      <c r="K110">
        <v>34</v>
      </c>
      <c r="L110">
        <v>0</v>
      </c>
      <c r="M110">
        <v>91.5</v>
      </c>
      <c r="N110">
        <v>91</v>
      </c>
      <c r="O110">
        <v>100</v>
      </c>
      <c r="P110">
        <v>39346</v>
      </c>
      <c r="Q110">
        <v>38643</v>
      </c>
      <c r="R110">
        <v>162916</v>
      </c>
      <c r="S110">
        <v>1195992</v>
      </c>
      <c r="T110">
        <v>1216215</v>
      </c>
      <c r="U110">
        <v>831023</v>
      </c>
      <c r="V110">
        <v>10</v>
      </c>
      <c r="W110">
        <v>10</v>
      </c>
      <c r="X110">
        <v>3113</v>
      </c>
      <c r="Y110">
        <v>57317907</v>
      </c>
      <c r="Z110">
        <v>57317907</v>
      </c>
      <c r="AA110">
        <v>4466023</v>
      </c>
      <c r="AB110">
        <v>478396800</v>
      </c>
      <c r="AC110">
        <v>460945485</v>
      </c>
      <c r="AD110">
        <v>17451483</v>
      </c>
    </row>
    <row r="111" spans="1:30" x14ac:dyDescent="0.3">
      <c r="A111" t="s">
        <v>53</v>
      </c>
      <c r="B111" t="s">
        <v>0</v>
      </c>
      <c r="C111" t="s">
        <v>229</v>
      </c>
      <c r="D111">
        <v>486</v>
      </c>
      <c r="E111">
        <v>104</v>
      </c>
      <c r="F111">
        <v>382</v>
      </c>
      <c r="G111">
        <v>402</v>
      </c>
      <c r="H111">
        <v>66</v>
      </c>
      <c r="I111">
        <v>336</v>
      </c>
      <c r="J111">
        <v>84</v>
      </c>
      <c r="K111">
        <v>38</v>
      </c>
      <c r="L111">
        <v>46</v>
      </c>
      <c r="M111">
        <v>82.7</v>
      </c>
      <c r="N111">
        <v>63.5</v>
      </c>
      <c r="O111">
        <v>88</v>
      </c>
      <c r="P111">
        <v>30874</v>
      </c>
      <c r="Q111">
        <v>12746</v>
      </c>
      <c r="R111">
        <v>34241</v>
      </c>
      <c r="S111">
        <v>1219941</v>
      </c>
      <c r="T111">
        <v>2005359</v>
      </c>
      <c r="U111">
        <v>1006110</v>
      </c>
      <c r="V111">
        <v>2</v>
      </c>
      <c r="W111">
        <v>2</v>
      </c>
      <c r="X111">
        <v>2</v>
      </c>
      <c r="Y111">
        <v>141639871</v>
      </c>
      <c r="Z111">
        <v>104036184</v>
      </c>
      <c r="AA111">
        <v>141639871</v>
      </c>
      <c r="AB111">
        <v>592891326</v>
      </c>
      <c r="AC111">
        <v>208557336</v>
      </c>
      <c r="AD111">
        <v>384334020</v>
      </c>
    </row>
    <row r="112" spans="1:30" x14ac:dyDescent="0.3">
      <c r="A112" t="s">
        <v>53</v>
      </c>
      <c r="B112" t="s">
        <v>0</v>
      </c>
      <c r="C112" t="s">
        <v>230</v>
      </c>
      <c r="D112">
        <v>500</v>
      </c>
      <c r="E112">
        <v>269</v>
      </c>
      <c r="F112">
        <v>231</v>
      </c>
      <c r="G112">
        <v>484</v>
      </c>
      <c r="H112">
        <v>259</v>
      </c>
      <c r="I112">
        <v>225</v>
      </c>
      <c r="J112">
        <v>16</v>
      </c>
      <c r="K112">
        <v>10</v>
      </c>
      <c r="L112">
        <v>6</v>
      </c>
      <c r="M112">
        <v>96.8</v>
      </c>
      <c r="N112">
        <v>96.3</v>
      </c>
      <c r="O112">
        <v>97.4</v>
      </c>
      <c r="P112">
        <v>93548</v>
      </c>
      <c r="Q112">
        <v>103382</v>
      </c>
      <c r="R112">
        <v>79610</v>
      </c>
      <c r="S112">
        <v>2032076</v>
      </c>
      <c r="T112">
        <v>1435731</v>
      </c>
      <c r="U112">
        <v>2726521</v>
      </c>
      <c r="V112">
        <v>0</v>
      </c>
      <c r="W112">
        <v>50</v>
      </c>
      <c r="X112">
        <v>0</v>
      </c>
      <c r="Y112">
        <v>350196415</v>
      </c>
      <c r="Z112">
        <v>95727685</v>
      </c>
      <c r="AA112">
        <v>350196415</v>
      </c>
      <c r="AB112">
        <v>1016038000</v>
      </c>
      <c r="AC112">
        <v>386211639</v>
      </c>
      <c r="AD112">
        <v>629826351</v>
      </c>
    </row>
    <row r="113" spans="1:30" x14ac:dyDescent="0.3">
      <c r="A113" t="s">
        <v>53</v>
      </c>
      <c r="B113" t="s">
        <v>0</v>
      </c>
      <c r="C113" t="s">
        <v>231</v>
      </c>
      <c r="D113">
        <v>500</v>
      </c>
      <c r="E113">
        <v>123</v>
      </c>
      <c r="F113">
        <v>377</v>
      </c>
      <c r="G113">
        <v>491</v>
      </c>
      <c r="H113">
        <v>121</v>
      </c>
      <c r="I113">
        <v>370</v>
      </c>
      <c r="J113">
        <v>9</v>
      </c>
      <c r="K113">
        <v>2</v>
      </c>
      <c r="L113">
        <v>7</v>
      </c>
      <c r="M113">
        <v>98.2</v>
      </c>
      <c r="N113">
        <v>98.4</v>
      </c>
      <c r="O113">
        <v>98.1</v>
      </c>
      <c r="P113">
        <v>235260</v>
      </c>
      <c r="Q113">
        <v>419715</v>
      </c>
      <c r="R113">
        <v>213722</v>
      </c>
      <c r="S113">
        <v>4929391</v>
      </c>
      <c r="T113">
        <v>1980388</v>
      </c>
      <c r="U113">
        <v>5891533</v>
      </c>
      <c r="V113">
        <v>4</v>
      </c>
      <c r="W113">
        <v>4</v>
      </c>
      <c r="X113">
        <v>8</v>
      </c>
      <c r="Y113">
        <v>521385567</v>
      </c>
      <c r="Z113">
        <v>65075664</v>
      </c>
      <c r="AA113">
        <v>521385567</v>
      </c>
      <c r="AB113">
        <v>2464695500</v>
      </c>
      <c r="AC113">
        <v>243587724</v>
      </c>
      <c r="AD113">
        <v>2221107941</v>
      </c>
    </row>
    <row r="114" spans="1:30" x14ac:dyDescent="0.3">
      <c r="A114" t="s">
        <v>52</v>
      </c>
      <c r="B114" t="s">
        <v>0</v>
      </c>
      <c r="C114" t="s">
        <v>229</v>
      </c>
      <c r="D114">
        <v>221</v>
      </c>
      <c r="E114">
        <v>110</v>
      </c>
      <c r="F114">
        <v>111</v>
      </c>
      <c r="G114">
        <v>202</v>
      </c>
      <c r="H114">
        <v>97</v>
      </c>
      <c r="I114">
        <v>105</v>
      </c>
      <c r="J114">
        <v>19</v>
      </c>
      <c r="K114">
        <v>13</v>
      </c>
      <c r="L114">
        <v>6</v>
      </c>
      <c r="M114">
        <v>91.4</v>
      </c>
      <c r="N114">
        <v>88.2</v>
      </c>
      <c r="O114">
        <v>94.6</v>
      </c>
      <c r="P114">
        <v>1229638</v>
      </c>
      <c r="Q114">
        <v>1239991</v>
      </c>
      <c r="R114">
        <v>1209797</v>
      </c>
      <c r="S114">
        <v>10730740</v>
      </c>
      <c r="T114">
        <v>7796806</v>
      </c>
      <c r="U114">
        <v>13638242</v>
      </c>
      <c r="V114">
        <v>3</v>
      </c>
      <c r="W114">
        <v>3</v>
      </c>
      <c r="X114">
        <v>4</v>
      </c>
      <c r="Y114">
        <v>303833300</v>
      </c>
      <c r="Z114">
        <v>233013737</v>
      </c>
      <c r="AA114">
        <v>303833300</v>
      </c>
      <c r="AB114">
        <v>2371493540</v>
      </c>
      <c r="AC114">
        <v>857648660</v>
      </c>
      <c r="AD114">
        <v>1513844862</v>
      </c>
    </row>
    <row r="115" spans="1:30" x14ac:dyDescent="0.3">
      <c r="A115" t="s">
        <v>52</v>
      </c>
      <c r="B115" t="s">
        <v>0</v>
      </c>
      <c r="C115" t="s">
        <v>230</v>
      </c>
      <c r="D115">
        <v>500</v>
      </c>
      <c r="E115">
        <v>337</v>
      </c>
      <c r="F115">
        <v>163</v>
      </c>
      <c r="G115">
        <v>439</v>
      </c>
      <c r="H115">
        <v>286</v>
      </c>
      <c r="I115">
        <v>153</v>
      </c>
      <c r="J115">
        <v>61</v>
      </c>
      <c r="K115">
        <v>51</v>
      </c>
      <c r="L115">
        <v>10</v>
      </c>
      <c r="M115">
        <v>87.8</v>
      </c>
      <c r="N115">
        <v>84.9</v>
      </c>
      <c r="O115">
        <v>93.9</v>
      </c>
      <c r="P115">
        <v>16772</v>
      </c>
      <c r="Q115">
        <v>11752</v>
      </c>
      <c r="R115">
        <v>31030</v>
      </c>
      <c r="S115">
        <v>536688</v>
      </c>
      <c r="T115">
        <v>358687</v>
      </c>
      <c r="U115">
        <v>904702</v>
      </c>
      <c r="V115">
        <v>4</v>
      </c>
      <c r="W115">
        <v>4</v>
      </c>
      <c r="X115">
        <v>31</v>
      </c>
      <c r="Y115">
        <v>101684293</v>
      </c>
      <c r="Z115">
        <v>13954680</v>
      </c>
      <c r="AA115">
        <v>101684293</v>
      </c>
      <c r="AB115">
        <v>268344000</v>
      </c>
      <c r="AC115">
        <v>120877519</v>
      </c>
      <c r="AD115">
        <v>147466426</v>
      </c>
    </row>
    <row r="116" spans="1:30" x14ac:dyDescent="0.3">
      <c r="A116" t="s">
        <v>52</v>
      </c>
      <c r="B116" t="s">
        <v>0</v>
      </c>
      <c r="C116" t="s">
        <v>231</v>
      </c>
      <c r="D116">
        <v>500</v>
      </c>
      <c r="E116">
        <v>227</v>
      </c>
      <c r="F116">
        <v>273</v>
      </c>
      <c r="G116">
        <v>450</v>
      </c>
      <c r="H116">
        <v>200</v>
      </c>
      <c r="I116">
        <v>250</v>
      </c>
      <c r="J116">
        <v>50</v>
      </c>
      <c r="K116">
        <v>27</v>
      </c>
      <c r="L116">
        <v>23</v>
      </c>
      <c r="M116">
        <v>90</v>
      </c>
      <c r="N116">
        <v>88.1</v>
      </c>
      <c r="O116">
        <v>91.6</v>
      </c>
      <c r="P116">
        <v>1602059</v>
      </c>
      <c r="Q116">
        <v>1168886</v>
      </c>
      <c r="R116">
        <v>2100833</v>
      </c>
      <c r="S116">
        <v>15595102</v>
      </c>
      <c r="T116">
        <v>9839655</v>
      </c>
      <c r="U116">
        <v>20380766</v>
      </c>
      <c r="V116">
        <v>2</v>
      </c>
      <c r="W116">
        <v>4</v>
      </c>
      <c r="X116">
        <v>2</v>
      </c>
      <c r="Y116">
        <v>482959912</v>
      </c>
      <c r="Z116">
        <v>137895006</v>
      </c>
      <c r="AA116">
        <v>482959912</v>
      </c>
      <c r="AB116">
        <v>7797551000</v>
      </c>
      <c r="AC116">
        <v>2233601685</v>
      </c>
      <c r="AD116">
        <v>5563949118</v>
      </c>
    </row>
    <row r="117" spans="1:30" x14ac:dyDescent="0.3">
      <c r="A117" t="s">
        <v>51</v>
      </c>
      <c r="B117" t="s">
        <v>0</v>
      </c>
      <c r="C117" t="s">
        <v>229</v>
      </c>
      <c r="D117">
        <v>368</v>
      </c>
      <c r="E117">
        <v>188</v>
      </c>
      <c r="F117">
        <v>180</v>
      </c>
      <c r="G117">
        <v>127</v>
      </c>
      <c r="H117">
        <v>33</v>
      </c>
      <c r="I117">
        <v>94</v>
      </c>
      <c r="J117">
        <v>241</v>
      </c>
      <c r="K117">
        <v>155</v>
      </c>
      <c r="L117">
        <v>86</v>
      </c>
      <c r="M117">
        <v>34.5</v>
      </c>
      <c r="N117">
        <v>17.600000000000001</v>
      </c>
      <c r="O117">
        <v>52.2</v>
      </c>
      <c r="P117">
        <v>159</v>
      </c>
      <c r="Q117">
        <v>90</v>
      </c>
      <c r="R117">
        <v>1503</v>
      </c>
      <c r="S117">
        <v>731407</v>
      </c>
      <c r="T117">
        <v>4241</v>
      </c>
      <c r="U117">
        <v>1490892</v>
      </c>
      <c r="V117">
        <v>2</v>
      </c>
      <c r="W117">
        <v>2</v>
      </c>
      <c r="X117">
        <v>7</v>
      </c>
      <c r="Y117">
        <v>157753791</v>
      </c>
      <c r="Z117">
        <v>369470</v>
      </c>
      <c r="AA117">
        <v>157753791</v>
      </c>
      <c r="AB117">
        <v>269157776</v>
      </c>
      <c r="AC117">
        <v>797308</v>
      </c>
      <c r="AD117">
        <v>268360560</v>
      </c>
    </row>
    <row r="118" spans="1:30" x14ac:dyDescent="0.3">
      <c r="A118" t="s">
        <v>50</v>
      </c>
      <c r="B118" t="s">
        <v>0</v>
      </c>
      <c r="C118" t="s">
        <v>230</v>
      </c>
      <c r="D118">
        <v>500</v>
      </c>
      <c r="E118">
        <v>387</v>
      </c>
      <c r="F118">
        <v>113</v>
      </c>
      <c r="G118">
        <v>456</v>
      </c>
      <c r="H118">
        <v>347</v>
      </c>
      <c r="I118">
        <v>109</v>
      </c>
      <c r="J118">
        <v>44</v>
      </c>
      <c r="K118">
        <v>40</v>
      </c>
      <c r="L118">
        <v>4</v>
      </c>
      <c r="M118">
        <v>91.2</v>
      </c>
      <c r="N118">
        <v>89.7</v>
      </c>
      <c r="O118">
        <v>96.5</v>
      </c>
      <c r="P118">
        <v>940145</v>
      </c>
      <c r="Q118">
        <v>1053269</v>
      </c>
      <c r="R118">
        <v>721282</v>
      </c>
      <c r="S118">
        <v>6470003</v>
      </c>
      <c r="T118">
        <v>7925982</v>
      </c>
      <c r="U118">
        <v>1483598</v>
      </c>
      <c r="V118">
        <v>0</v>
      </c>
      <c r="W118">
        <v>0</v>
      </c>
      <c r="X118">
        <v>45</v>
      </c>
      <c r="Y118">
        <v>309409702</v>
      </c>
      <c r="Z118">
        <v>309409702</v>
      </c>
      <c r="AA118">
        <v>22102751</v>
      </c>
      <c r="AB118">
        <v>3235001500</v>
      </c>
      <c r="AC118">
        <v>3067355034</v>
      </c>
      <c r="AD118">
        <v>167646574</v>
      </c>
    </row>
    <row r="119" spans="1:30" x14ac:dyDescent="0.3">
      <c r="A119" t="s">
        <v>50</v>
      </c>
      <c r="B119" t="s">
        <v>0</v>
      </c>
      <c r="C119" t="s">
        <v>231</v>
      </c>
      <c r="D119">
        <v>443</v>
      </c>
      <c r="E119">
        <v>363</v>
      </c>
      <c r="F119">
        <v>80</v>
      </c>
      <c r="G119">
        <v>434</v>
      </c>
      <c r="H119">
        <v>354</v>
      </c>
      <c r="I119">
        <v>80</v>
      </c>
      <c r="J119">
        <v>9</v>
      </c>
      <c r="K119">
        <v>9</v>
      </c>
      <c r="L119">
        <v>0</v>
      </c>
      <c r="M119">
        <v>98</v>
      </c>
      <c r="N119">
        <v>97.5</v>
      </c>
      <c r="O119">
        <v>100</v>
      </c>
      <c r="P119">
        <v>36291</v>
      </c>
      <c r="Q119">
        <v>33167</v>
      </c>
      <c r="R119">
        <v>58593</v>
      </c>
      <c r="S119">
        <v>573147</v>
      </c>
      <c r="T119">
        <v>611212</v>
      </c>
      <c r="U119">
        <v>400427</v>
      </c>
      <c r="V119">
        <v>23</v>
      </c>
      <c r="W119">
        <v>23</v>
      </c>
      <c r="X119">
        <v>1398</v>
      </c>
      <c r="Y119">
        <v>42244961</v>
      </c>
      <c r="Z119">
        <v>42244961</v>
      </c>
      <c r="AA119">
        <v>9674796</v>
      </c>
      <c r="AB119">
        <v>253904121</v>
      </c>
      <c r="AC119">
        <v>221869956</v>
      </c>
      <c r="AD119">
        <v>32034160</v>
      </c>
    </row>
    <row r="120" spans="1:30" x14ac:dyDescent="0.3">
      <c r="A120" t="s">
        <v>49</v>
      </c>
      <c r="B120" t="s">
        <v>0</v>
      </c>
      <c r="C120" t="s">
        <v>231</v>
      </c>
      <c r="D120">
        <v>500</v>
      </c>
      <c r="E120">
        <v>173</v>
      </c>
      <c r="F120">
        <v>327</v>
      </c>
      <c r="G120">
        <v>407</v>
      </c>
      <c r="H120">
        <v>131</v>
      </c>
      <c r="I120">
        <v>276</v>
      </c>
      <c r="J120">
        <v>93</v>
      </c>
      <c r="K120">
        <v>42</v>
      </c>
      <c r="L120">
        <v>51</v>
      </c>
      <c r="M120">
        <v>81.400000000000006</v>
      </c>
      <c r="N120">
        <v>75.7</v>
      </c>
      <c r="O120">
        <v>84.4</v>
      </c>
      <c r="P120">
        <v>116963</v>
      </c>
      <c r="Q120">
        <v>45968</v>
      </c>
      <c r="R120">
        <v>159076</v>
      </c>
      <c r="S120">
        <v>1357067</v>
      </c>
      <c r="T120">
        <v>995504</v>
      </c>
      <c r="U120">
        <v>1548353</v>
      </c>
      <c r="V120">
        <v>5</v>
      </c>
      <c r="W120">
        <v>5</v>
      </c>
      <c r="X120">
        <v>7</v>
      </c>
      <c r="Y120">
        <v>127721420</v>
      </c>
      <c r="Z120">
        <v>60070442</v>
      </c>
      <c r="AA120">
        <v>127721420</v>
      </c>
      <c r="AB120">
        <v>678533500</v>
      </c>
      <c r="AC120">
        <v>172222192</v>
      </c>
      <c r="AD120">
        <v>506311431</v>
      </c>
    </row>
    <row r="121" spans="1:30" x14ac:dyDescent="0.3">
      <c r="A121" t="s">
        <v>64</v>
      </c>
      <c r="B121" t="s">
        <v>0</v>
      </c>
      <c r="C121" t="s">
        <v>230</v>
      </c>
      <c r="D121">
        <v>500</v>
      </c>
      <c r="E121">
        <v>281</v>
      </c>
      <c r="F121">
        <v>219</v>
      </c>
      <c r="G121">
        <v>491</v>
      </c>
      <c r="H121">
        <v>273</v>
      </c>
      <c r="I121">
        <v>218</v>
      </c>
      <c r="J121">
        <v>9</v>
      </c>
      <c r="K121">
        <v>8</v>
      </c>
      <c r="L121">
        <v>1</v>
      </c>
      <c r="M121">
        <v>98.2</v>
      </c>
      <c r="N121">
        <v>97.2</v>
      </c>
      <c r="O121">
        <v>99.5</v>
      </c>
      <c r="P121">
        <v>8011642</v>
      </c>
      <c r="Q121">
        <v>16093326</v>
      </c>
      <c r="R121">
        <v>6009501</v>
      </c>
      <c r="S121">
        <v>26047598</v>
      </c>
      <c r="T121">
        <v>34028480</v>
      </c>
      <c r="U121">
        <v>15807288</v>
      </c>
      <c r="V121">
        <v>8</v>
      </c>
      <c r="W121">
        <v>8</v>
      </c>
      <c r="X121">
        <v>32</v>
      </c>
      <c r="Y121">
        <v>261021759</v>
      </c>
      <c r="Z121">
        <v>243938143</v>
      </c>
      <c r="AA121">
        <v>261021759</v>
      </c>
      <c r="AB121">
        <v>13023799000</v>
      </c>
      <c r="AC121">
        <v>9562002880</v>
      </c>
      <c r="AD121">
        <v>3461796072</v>
      </c>
    </row>
    <row r="122" spans="1:30" x14ac:dyDescent="0.3">
      <c r="A122" t="s">
        <v>63</v>
      </c>
      <c r="B122" t="s">
        <v>0</v>
      </c>
      <c r="C122" t="s">
        <v>231</v>
      </c>
      <c r="D122">
        <v>400</v>
      </c>
      <c r="E122">
        <v>149</v>
      </c>
      <c r="F122">
        <v>251</v>
      </c>
      <c r="G122">
        <v>382</v>
      </c>
      <c r="H122">
        <v>143</v>
      </c>
      <c r="I122">
        <v>239</v>
      </c>
      <c r="J122">
        <v>18</v>
      </c>
      <c r="K122">
        <v>6</v>
      </c>
      <c r="L122">
        <v>12</v>
      </c>
      <c r="M122">
        <v>95.5</v>
      </c>
      <c r="N122">
        <v>96</v>
      </c>
      <c r="O122">
        <v>95.2</v>
      </c>
      <c r="P122">
        <v>396269</v>
      </c>
      <c r="Q122">
        <v>951757</v>
      </c>
      <c r="R122">
        <v>266291</v>
      </c>
      <c r="S122">
        <v>14908504</v>
      </c>
      <c r="T122">
        <v>24151344</v>
      </c>
      <c r="U122">
        <v>9421719</v>
      </c>
      <c r="V122">
        <v>9</v>
      </c>
      <c r="W122">
        <v>17</v>
      </c>
      <c r="X122">
        <v>9</v>
      </c>
      <c r="Y122">
        <v>450525263</v>
      </c>
      <c r="Z122">
        <v>450525263</v>
      </c>
      <c r="AA122">
        <v>152807204</v>
      </c>
      <c r="AB122">
        <v>5963401600</v>
      </c>
      <c r="AC122">
        <v>3598550256</v>
      </c>
      <c r="AD122">
        <v>2364851469</v>
      </c>
    </row>
    <row r="123" spans="1:30" x14ac:dyDescent="0.3">
      <c r="A123" t="s">
        <v>48</v>
      </c>
      <c r="B123" t="s">
        <v>0</v>
      </c>
      <c r="C123" t="s">
        <v>229</v>
      </c>
      <c r="D123">
        <v>50</v>
      </c>
      <c r="E123">
        <v>29</v>
      </c>
      <c r="F123">
        <v>21</v>
      </c>
      <c r="G123">
        <v>25</v>
      </c>
      <c r="H123">
        <v>12</v>
      </c>
      <c r="I123">
        <v>13</v>
      </c>
      <c r="J123">
        <v>25</v>
      </c>
      <c r="K123">
        <v>17</v>
      </c>
      <c r="L123">
        <v>8</v>
      </c>
      <c r="M123">
        <v>50</v>
      </c>
      <c r="N123">
        <v>41.4</v>
      </c>
      <c r="O123">
        <v>61.9</v>
      </c>
      <c r="P123">
        <v>882</v>
      </c>
      <c r="Q123">
        <v>254</v>
      </c>
      <c r="R123">
        <v>4910</v>
      </c>
      <c r="S123">
        <v>218795</v>
      </c>
      <c r="T123">
        <v>27074</v>
      </c>
      <c r="U123">
        <v>483554</v>
      </c>
      <c r="V123">
        <v>5</v>
      </c>
      <c r="W123">
        <v>5</v>
      </c>
      <c r="X123">
        <v>143</v>
      </c>
      <c r="Y123">
        <v>5372550</v>
      </c>
      <c r="Z123">
        <v>654347</v>
      </c>
      <c r="AA123">
        <v>5372550</v>
      </c>
      <c r="AB123">
        <v>10939750</v>
      </c>
      <c r="AC123">
        <v>785146</v>
      </c>
      <c r="AD123">
        <v>10154634</v>
      </c>
    </row>
    <row r="124" spans="1:30" x14ac:dyDescent="0.3">
      <c r="A124" t="s">
        <v>48</v>
      </c>
      <c r="B124" t="s">
        <v>0</v>
      </c>
      <c r="C124" t="s">
        <v>230</v>
      </c>
      <c r="D124">
        <v>217</v>
      </c>
      <c r="E124">
        <v>150</v>
      </c>
      <c r="F124">
        <v>67</v>
      </c>
      <c r="G124">
        <v>84</v>
      </c>
      <c r="H124">
        <v>54</v>
      </c>
      <c r="I124">
        <v>30</v>
      </c>
      <c r="J124">
        <v>133</v>
      </c>
      <c r="K124">
        <v>96</v>
      </c>
      <c r="L124">
        <v>37</v>
      </c>
      <c r="M124">
        <v>38.700000000000003</v>
      </c>
      <c r="N124">
        <v>36</v>
      </c>
      <c r="O124">
        <v>44.8</v>
      </c>
      <c r="P124">
        <v>612</v>
      </c>
      <c r="Q124">
        <v>628</v>
      </c>
      <c r="R124">
        <v>396</v>
      </c>
      <c r="S124">
        <v>80513</v>
      </c>
      <c r="T124">
        <v>6855</v>
      </c>
      <c r="U124">
        <v>245419</v>
      </c>
      <c r="V124">
        <v>0</v>
      </c>
      <c r="W124">
        <v>0</v>
      </c>
      <c r="X124">
        <v>0</v>
      </c>
      <c r="Y124">
        <v>6052484</v>
      </c>
      <c r="Z124">
        <v>389117</v>
      </c>
      <c r="AA124">
        <v>6052484</v>
      </c>
      <c r="AB124">
        <v>17471321</v>
      </c>
      <c r="AC124">
        <v>1028250</v>
      </c>
      <c r="AD124">
        <v>16443073</v>
      </c>
    </row>
    <row r="125" spans="1:30" x14ac:dyDescent="0.3">
      <c r="A125" t="s">
        <v>48</v>
      </c>
      <c r="B125" t="s">
        <v>0</v>
      </c>
      <c r="C125" t="s">
        <v>231</v>
      </c>
      <c r="D125">
        <v>300</v>
      </c>
      <c r="E125">
        <v>103</v>
      </c>
      <c r="F125">
        <v>197</v>
      </c>
      <c r="G125">
        <v>106</v>
      </c>
      <c r="H125">
        <v>37</v>
      </c>
      <c r="I125">
        <v>69</v>
      </c>
      <c r="J125">
        <v>194</v>
      </c>
      <c r="K125">
        <v>66</v>
      </c>
      <c r="L125">
        <v>128</v>
      </c>
      <c r="M125">
        <v>35.299999999999997</v>
      </c>
      <c r="N125">
        <v>35.9</v>
      </c>
      <c r="O125">
        <v>35</v>
      </c>
      <c r="P125">
        <v>277</v>
      </c>
      <c r="Q125">
        <v>322</v>
      </c>
      <c r="R125">
        <v>235</v>
      </c>
      <c r="S125">
        <v>708556</v>
      </c>
      <c r="T125">
        <v>399222</v>
      </c>
      <c r="U125">
        <v>870289</v>
      </c>
      <c r="V125">
        <v>1</v>
      </c>
      <c r="W125">
        <v>1</v>
      </c>
      <c r="X125">
        <v>1</v>
      </c>
      <c r="Y125">
        <v>62878227</v>
      </c>
      <c r="Z125">
        <v>32101411</v>
      </c>
      <c r="AA125">
        <v>62878227</v>
      </c>
      <c r="AB125">
        <v>212566800</v>
      </c>
      <c r="AC125">
        <v>41119866</v>
      </c>
      <c r="AD125">
        <v>171446933</v>
      </c>
    </row>
    <row r="126" spans="1:30" x14ac:dyDescent="0.3">
      <c r="A126" t="s">
        <v>47</v>
      </c>
      <c r="B126" t="s">
        <v>0</v>
      </c>
      <c r="C126" t="s">
        <v>229</v>
      </c>
      <c r="D126">
        <v>494</v>
      </c>
      <c r="E126">
        <v>281</v>
      </c>
      <c r="F126">
        <v>213</v>
      </c>
      <c r="G126">
        <v>300</v>
      </c>
      <c r="H126">
        <v>152</v>
      </c>
      <c r="I126">
        <v>148</v>
      </c>
      <c r="J126">
        <v>194</v>
      </c>
      <c r="K126">
        <v>129</v>
      </c>
      <c r="L126">
        <v>65</v>
      </c>
      <c r="M126">
        <v>60.7</v>
      </c>
      <c r="N126">
        <v>54.1</v>
      </c>
      <c r="O126">
        <v>69.5</v>
      </c>
      <c r="P126">
        <v>1854</v>
      </c>
      <c r="Q126">
        <v>1097</v>
      </c>
      <c r="R126">
        <v>4238</v>
      </c>
      <c r="S126">
        <v>185745</v>
      </c>
      <c r="T126">
        <v>37629</v>
      </c>
      <c r="U126">
        <v>381146</v>
      </c>
      <c r="V126">
        <v>0</v>
      </c>
      <c r="W126">
        <v>0</v>
      </c>
      <c r="X126">
        <v>0</v>
      </c>
      <c r="Y126">
        <v>33892383</v>
      </c>
      <c r="Z126">
        <v>3770719</v>
      </c>
      <c r="AA126">
        <v>33892383</v>
      </c>
      <c r="AB126">
        <v>91758030</v>
      </c>
      <c r="AC126">
        <v>10573749</v>
      </c>
      <c r="AD126">
        <v>81184098</v>
      </c>
    </row>
    <row r="127" spans="1:30" x14ac:dyDescent="0.3">
      <c r="A127" t="s">
        <v>47</v>
      </c>
      <c r="B127" t="s">
        <v>0</v>
      </c>
      <c r="C127" t="s">
        <v>231</v>
      </c>
      <c r="D127">
        <v>371</v>
      </c>
      <c r="E127">
        <v>224</v>
      </c>
      <c r="F127">
        <v>147</v>
      </c>
      <c r="G127">
        <v>67</v>
      </c>
      <c r="H127">
        <v>42</v>
      </c>
      <c r="I127">
        <v>25</v>
      </c>
      <c r="J127">
        <v>304</v>
      </c>
      <c r="K127">
        <v>182</v>
      </c>
      <c r="L127">
        <v>122</v>
      </c>
      <c r="M127">
        <v>18.100000000000001</v>
      </c>
      <c r="N127">
        <v>18.8</v>
      </c>
      <c r="O127">
        <v>17</v>
      </c>
      <c r="P127">
        <v>109</v>
      </c>
      <c r="Q127">
        <v>142</v>
      </c>
      <c r="R127">
        <v>96</v>
      </c>
      <c r="S127">
        <v>63015</v>
      </c>
      <c r="T127">
        <v>7918</v>
      </c>
      <c r="U127">
        <v>146972</v>
      </c>
      <c r="V127">
        <v>5</v>
      </c>
      <c r="W127">
        <v>10</v>
      </c>
      <c r="X127">
        <v>5</v>
      </c>
      <c r="Y127">
        <v>3246442</v>
      </c>
      <c r="Z127">
        <v>482307</v>
      </c>
      <c r="AA127">
        <v>3246442</v>
      </c>
      <c r="AB127">
        <v>23378565</v>
      </c>
      <c r="AC127">
        <v>1773632</v>
      </c>
      <c r="AD127">
        <v>21604884</v>
      </c>
    </row>
    <row r="128" spans="1:30" x14ac:dyDescent="0.3">
      <c r="A128" t="s">
        <v>29</v>
      </c>
      <c r="B128" t="s">
        <v>0</v>
      </c>
      <c r="C128" t="s">
        <v>229</v>
      </c>
      <c r="D128">
        <v>207</v>
      </c>
      <c r="E128">
        <v>136</v>
      </c>
      <c r="F128">
        <v>71</v>
      </c>
      <c r="G128">
        <v>65.7</v>
      </c>
      <c r="H128">
        <v>45572491</v>
      </c>
      <c r="I128">
        <v>3515</v>
      </c>
      <c r="J128">
        <v>220156</v>
      </c>
      <c r="K128">
        <v>3</v>
      </c>
      <c r="L128">
        <v>14712044</v>
      </c>
      <c r="M128">
        <v>66</v>
      </c>
      <c r="N128">
        <v>24</v>
      </c>
      <c r="O128">
        <v>42</v>
      </c>
      <c r="P128">
        <v>36.4</v>
      </c>
      <c r="Q128">
        <v>33149630</v>
      </c>
      <c r="R128">
        <v>273</v>
      </c>
      <c r="S128">
        <v>502267</v>
      </c>
      <c r="T128">
        <v>3</v>
      </c>
      <c r="U128">
        <v>14712044</v>
      </c>
      <c r="V128">
        <v>141</v>
      </c>
      <c r="W128">
        <v>112</v>
      </c>
      <c r="X128">
        <v>29</v>
      </c>
      <c r="Y128">
        <v>79.400000000000006</v>
      </c>
      <c r="Z128">
        <v>12422861</v>
      </c>
      <c r="AA128">
        <v>5606</v>
      </c>
      <c r="AB128">
        <v>103969269</v>
      </c>
      <c r="AC128">
        <v>408</v>
      </c>
      <c r="AD128">
        <v>1044555124</v>
      </c>
    </row>
    <row r="129" spans="1:30" x14ac:dyDescent="0.3">
      <c r="A129" t="s">
        <v>29</v>
      </c>
      <c r="B129" t="s">
        <v>0</v>
      </c>
      <c r="C129" t="s">
        <v>231</v>
      </c>
      <c r="D129">
        <v>496</v>
      </c>
      <c r="E129">
        <v>476</v>
      </c>
      <c r="F129">
        <v>20</v>
      </c>
      <c r="G129">
        <v>96</v>
      </c>
      <c r="H129">
        <v>1684710553</v>
      </c>
      <c r="I129">
        <v>309286</v>
      </c>
      <c r="J129">
        <v>3396593</v>
      </c>
      <c r="K129">
        <v>5</v>
      </c>
      <c r="L129">
        <v>247621125</v>
      </c>
      <c r="M129">
        <v>95</v>
      </c>
      <c r="N129">
        <v>91</v>
      </c>
      <c r="O129">
        <v>4</v>
      </c>
      <c r="P129">
        <v>95.8</v>
      </c>
      <c r="Q129">
        <v>805852270</v>
      </c>
      <c r="R129">
        <v>116563</v>
      </c>
      <c r="S129">
        <v>8482655</v>
      </c>
      <c r="T129">
        <v>10</v>
      </c>
      <c r="U129">
        <v>247621125</v>
      </c>
      <c r="V129">
        <v>401</v>
      </c>
      <c r="W129">
        <v>385</v>
      </c>
      <c r="X129">
        <v>16</v>
      </c>
      <c r="Y129">
        <v>96</v>
      </c>
      <c r="Z129">
        <v>878858283</v>
      </c>
      <c r="AA129">
        <v>367749</v>
      </c>
      <c r="AB129">
        <v>4207396880</v>
      </c>
      <c r="AC129">
        <v>4760</v>
      </c>
      <c r="AD129">
        <v>4952422500</v>
      </c>
    </row>
    <row r="130" spans="1:30" x14ac:dyDescent="0.3">
      <c r="A130" t="s">
        <v>28</v>
      </c>
      <c r="B130" t="s">
        <v>0</v>
      </c>
      <c r="C130" t="s">
        <v>229</v>
      </c>
      <c r="D130">
        <v>200</v>
      </c>
      <c r="E130">
        <v>195</v>
      </c>
      <c r="F130">
        <v>5</v>
      </c>
      <c r="G130">
        <v>97.5</v>
      </c>
      <c r="H130">
        <v>98392783</v>
      </c>
      <c r="I130">
        <v>16343</v>
      </c>
      <c r="J130">
        <v>491963</v>
      </c>
      <c r="K130">
        <v>26</v>
      </c>
      <c r="L130">
        <v>25822359</v>
      </c>
      <c r="M130">
        <v>58</v>
      </c>
      <c r="N130">
        <v>56</v>
      </c>
      <c r="O130">
        <v>2</v>
      </c>
      <c r="P130">
        <v>96.6</v>
      </c>
      <c r="Q130">
        <v>22783262</v>
      </c>
      <c r="R130">
        <v>6379</v>
      </c>
      <c r="S130">
        <v>392814</v>
      </c>
      <c r="T130">
        <v>845</v>
      </c>
      <c r="U130">
        <v>13528278</v>
      </c>
      <c r="V130">
        <v>142</v>
      </c>
      <c r="W130">
        <v>139</v>
      </c>
      <c r="X130">
        <v>3</v>
      </c>
      <c r="Y130">
        <v>97.9</v>
      </c>
      <c r="Z130">
        <v>75609521</v>
      </c>
      <c r="AA130">
        <v>22416</v>
      </c>
      <c r="AB130">
        <v>78562800</v>
      </c>
      <c r="AC130">
        <v>164775</v>
      </c>
      <c r="AD130">
        <v>67641390</v>
      </c>
    </row>
    <row r="131" spans="1:30" x14ac:dyDescent="0.3">
      <c r="A131" t="s">
        <v>28</v>
      </c>
      <c r="B131" t="s">
        <v>0</v>
      </c>
      <c r="C131" t="s">
        <v>231</v>
      </c>
      <c r="D131">
        <v>265</v>
      </c>
      <c r="E131">
        <v>180</v>
      </c>
      <c r="F131">
        <v>85</v>
      </c>
      <c r="G131">
        <v>67.900000000000006</v>
      </c>
      <c r="H131">
        <v>10208838</v>
      </c>
      <c r="I131">
        <v>3161</v>
      </c>
      <c r="J131">
        <v>38523</v>
      </c>
      <c r="K131">
        <v>1</v>
      </c>
      <c r="L131">
        <v>612630</v>
      </c>
      <c r="M131">
        <v>134</v>
      </c>
      <c r="N131">
        <v>94</v>
      </c>
      <c r="O131">
        <v>40</v>
      </c>
      <c r="P131">
        <v>70.099999999999994</v>
      </c>
      <c r="Q131">
        <v>4208485</v>
      </c>
      <c r="R131">
        <v>3314</v>
      </c>
      <c r="S131">
        <v>31406</v>
      </c>
      <c r="T131">
        <v>99</v>
      </c>
      <c r="U131">
        <v>612630</v>
      </c>
      <c r="V131">
        <v>131</v>
      </c>
      <c r="W131">
        <v>86</v>
      </c>
      <c r="X131">
        <v>45</v>
      </c>
      <c r="Y131">
        <v>65.599999999999994</v>
      </c>
      <c r="Z131">
        <v>6000353</v>
      </c>
      <c r="AA131">
        <v>2793</v>
      </c>
      <c r="AB131">
        <v>8322590</v>
      </c>
      <c r="AC131">
        <v>17820</v>
      </c>
      <c r="AD131">
        <v>52073550</v>
      </c>
    </row>
    <row r="132" spans="1:30" x14ac:dyDescent="0.3">
      <c r="A132" t="s">
        <v>28</v>
      </c>
      <c r="B132" t="s">
        <v>0</v>
      </c>
      <c r="C132" t="s">
        <v>230</v>
      </c>
      <c r="D132">
        <v>500</v>
      </c>
      <c r="E132">
        <v>493</v>
      </c>
      <c r="F132">
        <v>7</v>
      </c>
      <c r="G132">
        <v>98.6</v>
      </c>
      <c r="H132">
        <v>285645637</v>
      </c>
      <c r="I132">
        <v>140625</v>
      </c>
      <c r="J132">
        <v>571291</v>
      </c>
      <c r="K132">
        <v>28</v>
      </c>
      <c r="L132">
        <v>19023763</v>
      </c>
      <c r="M132">
        <v>384</v>
      </c>
      <c r="N132">
        <v>377</v>
      </c>
      <c r="O132">
        <v>7</v>
      </c>
      <c r="P132">
        <v>98.2</v>
      </c>
      <c r="Q132">
        <v>256019123</v>
      </c>
      <c r="R132">
        <v>118100</v>
      </c>
      <c r="S132">
        <v>666716</v>
      </c>
      <c r="T132">
        <v>28</v>
      </c>
      <c r="U132">
        <v>19023763</v>
      </c>
      <c r="V132">
        <v>116</v>
      </c>
      <c r="W132">
        <v>116</v>
      </c>
      <c r="X132">
        <v>0</v>
      </c>
      <c r="Y132">
        <v>100</v>
      </c>
      <c r="Z132">
        <v>29626514</v>
      </c>
      <c r="AA132">
        <v>163791</v>
      </c>
      <c r="AB132">
        <v>333358000</v>
      </c>
      <c r="AC132">
        <v>13804</v>
      </c>
      <c r="AD132">
        <v>133166341</v>
      </c>
    </row>
    <row r="133" spans="1:30" x14ac:dyDescent="0.3">
      <c r="A133" t="s">
        <v>27</v>
      </c>
      <c r="B133" t="s">
        <v>0</v>
      </c>
      <c r="C133" t="s">
        <v>231</v>
      </c>
      <c r="D133">
        <v>500</v>
      </c>
      <c r="E133">
        <v>484</v>
      </c>
      <c r="F133">
        <v>16</v>
      </c>
      <c r="G133">
        <v>96.8</v>
      </c>
      <c r="H133">
        <v>166959857</v>
      </c>
      <c r="I133">
        <v>86093</v>
      </c>
      <c r="J133">
        <v>333919</v>
      </c>
      <c r="K133">
        <v>4</v>
      </c>
      <c r="L133">
        <v>33217018</v>
      </c>
      <c r="M133">
        <v>219</v>
      </c>
      <c r="N133">
        <v>208</v>
      </c>
      <c r="O133">
        <v>11</v>
      </c>
      <c r="P133">
        <v>95</v>
      </c>
      <c r="Q133">
        <v>53347780</v>
      </c>
      <c r="R133">
        <v>65847</v>
      </c>
      <c r="S133">
        <v>243597</v>
      </c>
      <c r="T133">
        <v>4</v>
      </c>
      <c r="U133">
        <v>6930100</v>
      </c>
      <c r="V133">
        <v>281</v>
      </c>
      <c r="W133">
        <v>276</v>
      </c>
      <c r="X133">
        <v>5</v>
      </c>
      <c r="Y133">
        <v>98.2</v>
      </c>
      <c r="Z133">
        <v>113612077</v>
      </c>
      <c r="AA133">
        <v>113634</v>
      </c>
      <c r="AB133">
        <v>121798500</v>
      </c>
      <c r="AC133">
        <v>1936</v>
      </c>
      <c r="AD133">
        <v>110881600</v>
      </c>
    </row>
    <row r="134" spans="1:30" x14ac:dyDescent="0.3">
      <c r="A134" t="s">
        <v>27</v>
      </c>
      <c r="B134" t="s">
        <v>0</v>
      </c>
      <c r="C134" t="s">
        <v>230</v>
      </c>
      <c r="D134">
        <v>497</v>
      </c>
      <c r="E134">
        <v>320</v>
      </c>
      <c r="F134">
        <v>177</v>
      </c>
      <c r="G134">
        <v>64.400000000000006</v>
      </c>
      <c r="H134">
        <v>355714699</v>
      </c>
      <c r="I134">
        <v>4971</v>
      </c>
      <c r="J134">
        <v>715723</v>
      </c>
      <c r="K134">
        <v>1</v>
      </c>
      <c r="L134">
        <v>44269733</v>
      </c>
      <c r="M134">
        <v>420</v>
      </c>
      <c r="N134">
        <v>251</v>
      </c>
      <c r="O134">
        <v>169</v>
      </c>
      <c r="P134">
        <v>59.8</v>
      </c>
      <c r="Q134">
        <v>320901422</v>
      </c>
      <c r="R134">
        <v>2308</v>
      </c>
      <c r="S134">
        <v>764051</v>
      </c>
      <c r="T134">
        <v>1</v>
      </c>
      <c r="U134">
        <v>44269733</v>
      </c>
      <c r="V134">
        <v>77</v>
      </c>
      <c r="W134">
        <v>69</v>
      </c>
      <c r="X134">
        <v>8</v>
      </c>
      <c r="Y134">
        <v>89.6</v>
      </c>
      <c r="Z134">
        <v>34813277</v>
      </c>
      <c r="AA134">
        <v>110440</v>
      </c>
      <c r="AB134">
        <v>379733347</v>
      </c>
      <c r="AC134">
        <v>320</v>
      </c>
      <c r="AD134">
        <v>7835742741</v>
      </c>
    </row>
    <row r="135" spans="1:30" x14ac:dyDescent="0.3">
      <c r="A135" t="s">
        <v>26</v>
      </c>
      <c r="B135" t="s">
        <v>0</v>
      </c>
      <c r="C135" t="s">
        <v>229</v>
      </c>
      <c r="D135">
        <v>372</v>
      </c>
      <c r="E135">
        <v>141</v>
      </c>
      <c r="F135">
        <v>231</v>
      </c>
      <c r="G135">
        <v>37.9</v>
      </c>
      <c r="H135">
        <v>216360383</v>
      </c>
      <c r="I135">
        <v>352</v>
      </c>
      <c r="J135">
        <v>581613</v>
      </c>
      <c r="K135">
        <v>3</v>
      </c>
      <c r="L135">
        <v>66719416</v>
      </c>
      <c r="M135">
        <v>166</v>
      </c>
      <c r="N135">
        <v>47</v>
      </c>
      <c r="O135">
        <v>119</v>
      </c>
      <c r="P135">
        <v>28.3</v>
      </c>
      <c r="Q135">
        <v>111625027</v>
      </c>
      <c r="R135">
        <v>251</v>
      </c>
      <c r="S135">
        <v>672439</v>
      </c>
      <c r="T135">
        <v>7</v>
      </c>
      <c r="U135">
        <v>66719416</v>
      </c>
      <c r="V135">
        <v>206</v>
      </c>
      <c r="W135">
        <v>94</v>
      </c>
      <c r="X135">
        <v>112</v>
      </c>
      <c r="Y135">
        <v>45.6</v>
      </c>
      <c r="Z135">
        <v>104735356</v>
      </c>
      <c r="AA135">
        <v>661</v>
      </c>
      <c r="AB135">
        <v>250147308</v>
      </c>
      <c r="AC135">
        <v>987</v>
      </c>
      <c r="AD135">
        <v>15412185096</v>
      </c>
    </row>
    <row r="136" spans="1:30" x14ac:dyDescent="0.3">
      <c r="A136" t="s">
        <v>26</v>
      </c>
      <c r="B136" t="s">
        <v>0</v>
      </c>
      <c r="C136" t="s">
        <v>231</v>
      </c>
      <c r="D136">
        <v>500</v>
      </c>
      <c r="E136">
        <v>493</v>
      </c>
      <c r="F136">
        <v>7</v>
      </c>
      <c r="G136">
        <v>98.6</v>
      </c>
      <c r="H136">
        <v>1077067512</v>
      </c>
      <c r="I136">
        <v>268595</v>
      </c>
      <c r="J136">
        <v>2154135</v>
      </c>
      <c r="K136">
        <v>64</v>
      </c>
      <c r="L136">
        <v>220724516</v>
      </c>
      <c r="M136">
        <v>216</v>
      </c>
      <c r="N136">
        <v>209</v>
      </c>
      <c r="O136">
        <v>7</v>
      </c>
      <c r="P136">
        <v>96.8</v>
      </c>
      <c r="Q136">
        <v>533520494</v>
      </c>
      <c r="R136">
        <v>251624</v>
      </c>
      <c r="S136">
        <v>2470002</v>
      </c>
      <c r="T136">
        <v>64</v>
      </c>
      <c r="U136">
        <v>103204342</v>
      </c>
      <c r="V136">
        <v>284</v>
      </c>
      <c r="W136">
        <v>284</v>
      </c>
      <c r="X136">
        <v>0</v>
      </c>
      <c r="Y136">
        <v>100</v>
      </c>
      <c r="Z136">
        <v>543547018</v>
      </c>
      <c r="AA136">
        <v>290022</v>
      </c>
      <c r="AB136">
        <v>1235001000</v>
      </c>
      <c r="AC136">
        <v>31552</v>
      </c>
      <c r="AD136">
        <v>722430394</v>
      </c>
    </row>
    <row r="137" spans="1:30" x14ac:dyDescent="0.3">
      <c r="A137" t="s">
        <v>26</v>
      </c>
      <c r="B137" t="s">
        <v>0</v>
      </c>
      <c r="C137" t="s">
        <v>230</v>
      </c>
      <c r="D137">
        <v>367</v>
      </c>
      <c r="E137">
        <v>334</v>
      </c>
      <c r="F137">
        <v>33</v>
      </c>
      <c r="G137">
        <v>91</v>
      </c>
      <c r="H137">
        <v>362163776</v>
      </c>
      <c r="I137">
        <v>40220</v>
      </c>
      <c r="J137">
        <v>986822</v>
      </c>
      <c r="K137">
        <v>4</v>
      </c>
      <c r="L137">
        <v>47787297</v>
      </c>
      <c r="M137">
        <v>182</v>
      </c>
      <c r="N137">
        <v>154</v>
      </c>
      <c r="O137">
        <v>28</v>
      </c>
      <c r="P137">
        <v>84.6</v>
      </c>
      <c r="Q137">
        <v>177920646</v>
      </c>
      <c r="R137">
        <v>34680</v>
      </c>
      <c r="S137">
        <v>977585</v>
      </c>
      <c r="T137">
        <v>4</v>
      </c>
      <c r="U137">
        <v>47787297</v>
      </c>
      <c r="V137">
        <v>185</v>
      </c>
      <c r="W137">
        <v>180</v>
      </c>
      <c r="X137">
        <v>5</v>
      </c>
      <c r="Y137">
        <v>97.3</v>
      </c>
      <c r="Z137">
        <v>184243130</v>
      </c>
      <c r="AA137">
        <v>43659</v>
      </c>
      <c r="AB137">
        <v>358773695</v>
      </c>
      <c r="AC137">
        <v>1336</v>
      </c>
      <c r="AD137">
        <v>1576980801</v>
      </c>
    </row>
    <row r="138" spans="1:30" x14ac:dyDescent="0.3">
      <c r="A138" t="s">
        <v>25</v>
      </c>
      <c r="B138" t="s">
        <v>0</v>
      </c>
      <c r="C138" t="s">
        <v>229</v>
      </c>
      <c r="D138">
        <v>500</v>
      </c>
      <c r="E138">
        <v>489</v>
      </c>
      <c r="F138">
        <v>11</v>
      </c>
      <c r="G138">
        <v>97.8</v>
      </c>
      <c r="H138">
        <v>1241779634</v>
      </c>
      <c r="I138">
        <v>353390</v>
      </c>
      <c r="J138">
        <v>2483559</v>
      </c>
      <c r="K138">
        <v>11</v>
      </c>
      <c r="L138">
        <v>190630208</v>
      </c>
      <c r="M138">
        <v>78</v>
      </c>
      <c r="N138">
        <v>69</v>
      </c>
      <c r="O138">
        <v>9</v>
      </c>
      <c r="P138">
        <v>88.5</v>
      </c>
      <c r="Q138">
        <v>136660504</v>
      </c>
      <c r="R138">
        <v>198970</v>
      </c>
      <c r="S138">
        <v>1752057</v>
      </c>
      <c r="T138">
        <v>11</v>
      </c>
      <c r="U138">
        <v>39664332</v>
      </c>
      <c r="V138">
        <v>422</v>
      </c>
      <c r="W138">
        <v>420</v>
      </c>
      <c r="X138">
        <v>2</v>
      </c>
      <c r="Y138">
        <v>99.5</v>
      </c>
      <c r="Z138">
        <v>1105119130</v>
      </c>
      <c r="AA138">
        <v>395595</v>
      </c>
      <c r="AB138">
        <v>876028500</v>
      </c>
      <c r="AC138">
        <v>5379</v>
      </c>
      <c r="AD138">
        <v>436307652</v>
      </c>
    </row>
    <row r="139" spans="1:30" x14ac:dyDescent="0.3">
      <c r="A139" t="s">
        <v>25</v>
      </c>
      <c r="B139" t="s">
        <v>0</v>
      </c>
      <c r="C139" t="s">
        <v>231</v>
      </c>
      <c r="D139">
        <v>500</v>
      </c>
      <c r="E139">
        <v>465</v>
      </c>
      <c r="F139">
        <v>35</v>
      </c>
      <c r="G139">
        <v>93</v>
      </c>
      <c r="H139">
        <v>1825254007</v>
      </c>
      <c r="I139">
        <v>191177</v>
      </c>
      <c r="J139">
        <v>3650508</v>
      </c>
      <c r="K139">
        <v>66</v>
      </c>
      <c r="L139">
        <v>188675563</v>
      </c>
      <c r="M139">
        <v>223</v>
      </c>
      <c r="N139">
        <v>190</v>
      </c>
      <c r="O139">
        <v>33</v>
      </c>
      <c r="P139">
        <v>85.2</v>
      </c>
      <c r="Q139">
        <v>892974500</v>
      </c>
      <c r="R139">
        <v>22474</v>
      </c>
      <c r="S139">
        <v>4004369</v>
      </c>
      <c r="T139">
        <v>66</v>
      </c>
      <c r="U139">
        <v>121649139</v>
      </c>
      <c r="V139">
        <v>277</v>
      </c>
      <c r="W139">
        <v>275</v>
      </c>
      <c r="X139">
        <v>2</v>
      </c>
      <c r="Y139">
        <v>99.3</v>
      </c>
      <c r="Z139">
        <v>932279507</v>
      </c>
      <c r="AA139">
        <v>329216</v>
      </c>
      <c r="AB139">
        <v>2002184500</v>
      </c>
      <c r="AC139">
        <v>30690</v>
      </c>
      <c r="AD139">
        <v>4257719865</v>
      </c>
    </row>
    <row r="140" spans="1:30" x14ac:dyDescent="0.3">
      <c r="A140" t="s">
        <v>25</v>
      </c>
      <c r="B140" t="s">
        <v>0</v>
      </c>
      <c r="C140" t="s">
        <v>230</v>
      </c>
      <c r="D140">
        <v>500</v>
      </c>
      <c r="E140">
        <v>497</v>
      </c>
      <c r="F140">
        <v>3</v>
      </c>
      <c r="G140">
        <v>99.4</v>
      </c>
      <c r="H140">
        <v>1879384379</v>
      </c>
      <c r="I140">
        <v>512438</v>
      </c>
      <c r="J140">
        <v>3758768</v>
      </c>
      <c r="K140">
        <v>316</v>
      </c>
      <c r="L140">
        <v>145460077</v>
      </c>
      <c r="M140">
        <v>453</v>
      </c>
      <c r="N140">
        <v>450</v>
      </c>
      <c r="O140">
        <v>3</v>
      </c>
      <c r="P140">
        <v>99.3</v>
      </c>
      <c r="Q140">
        <v>1771858445</v>
      </c>
      <c r="R140">
        <v>570386</v>
      </c>
      <c r="S140">
        <v>3911387</v>
      </c>
      <c r="T140">
        <v>316</v>
      </c>
      <c r="U140">
        <v>145460077</v>
      </c>
      <c r="V140">
        <v>47</v>
      </c>
      <c r="W140">
        <v>47</v>
      </c>
      <c r="X140">
        <v>0</v>
      </c>
      <c r="Y140">
        <v>100</v>
      </c>
      <c r="Z140">
        <v>107525934</v>
      </c>
      <c r="AA140">
        <v>466746</v>
      </c>
      <c r="AB140">
        <v>1955693500</v>
      </c>
      <c r="AC140">
        <v>157052</v>
      </c>
      <c r="AD140">
        <v>436380231</v>
      </c>
    </row>
    <row r="141" spans="1:30" x14ac:dyDescent="0.3">
      <c r="A141" t="s">
        <v>24</v>
      </c>
      <c r="B141" t="s">
        <v>0</v>
      </c>
      <c r="C141" t="s">
        <v>229</v>
      </c>
      <c r="D141">
        <v>500</v>
      </c>
      <c r="E141">
        <v>472</v>
      </c>
      <c r="F141">
        <v>28</v>
      </c>
      <c r="G141">
        <v>94.4</v>
      </c>
      <c r="H141">
        <v>810775292</v>
      </c>
      <c r="I141">
        <v>39686</v>
      </c>
      <c r="J141">
        <v>1621550</v>
      </c>
      <c r="K141">
        <v>0</v>
      </c>
      <c r="L141">
        <v>403676961</v>
      </c>
      <c r="M141">
        <v>194</v>
      </c>
      <c r="N141">
        <v>174</v>
      </c>
      <c r="O141">
        <v>20</v>
      </c>
      <c r="P141">
        <v>89.7</v>
      </c>
      <c r="Q141">
        <v>51489376</v>
      </c>
      <c r="R141">
        <v>19942</v>
      </c>
      <c r="S141">
        <v>265409</v>
      </c>
      <c r="T141">
        <v>0</v>
      </c>
      <c r="U141">
        <v>10657588</v>
      </c>
      <c r="V141">
        <v>306</v>
      </c>
      <c r="W141">
        <v>298</v>
      </c>
      <c r="X141">
        <v>8</v>
      </c>
      <c r="Y141">
        <v>97.4</v>
      </c>
      <c r="Z141">
        <v>759285916</v>
      </c>
      <c r="AA141">
        <v>71175</v>
      </c>
      <c r="AB141">
        <v>132704500</v>
      </c>
      <c r="AC141">
        <v>0</v>
      </c>
      <c r="AD141">
        <v>298412464</v>
      </c>
    </row>
    <row r="142" spans="1:30" x14ac:dyDescent="0.3">
      <c r="A142" t="s">
        <v>24</v>
      </c>
      <c r="B142" t="s">
        <v>0</v>
      </c>
      <c r="C142" t="s">
        <v>231</v>
      </c>
      <c r="D142">
        <v>500</v>
      </c>
      <c r="E142">
        <v>436</v>
      </c>
      <c r="F142">
        <v>64</v>
      </c>
      <c r="G142">
        <v>87.2</v>
      </c>
      <c r="H142">
        <v>159950770</v>
      </c>
      <c r="I142">
        <v>13905</v>
      </c>
      <c r="J142">
        <v>319901</v>
      </c>
      <c r="K142">
        <v>2</v>
      </c>
      <c r="L142">
        <v>31063602</v>
      </c>
      <c r="M142">
        <v>184</v>
      </c>
      <c r="N142">
        <v>139</v>
      </c>
      <c r="O142">
        <v>45</v>
      </c>
      <c r="P142">
        <v>75.5</v>
      </c>
      <c r="Q142">
        <v>131155907</v>
      </c>
      <c r="R142">
        <v>4255</v>
      </c>
      <c r="S142">
        <v>712803</v>
      </c>
      <c r="T142">
        <v>2</v>
      </c>
      <c r="U142">
        <v>31063602</v>
      </c>
      <c r="V142">
        <v>316</v>
      </c>
      <c r="W142">
        <v>297</v>
      </c>
      <c r="X142">
        <v>19</v>
      </c>
      <c r="Y142">
        <v>94</v>
      </c>
      <c r="Z142">
        <v>28794863</v>
      </c>
      <c r="AA142">
        <v>20988</v>
      </c>
      <c r="AB142">
        <v>356401500</v>
      </c>
      <c r="AC142">
        <v>872</v>
      </c>
      <c r="AD142">
        <v>1988070528</v>
      </c>
    </row>
    <row r="143" spans="1:30" x14ac:dyDescent="0.3">
      <c r="A143" t="s">
        <v>24</v>
      </c>
      <c r="B143" t="s">
        <v>0</v>
      </c>
      <c r="C143" t="s">
        <v>230</v>
      </c>
      <c r="D143">
        <v>500</v>
      </c>
      <c r="E143">
        <v>434</v>
      </c>
      <c r="F143">
        <v>66</v>
      </c>
      <c r="G143">
        <v>86.8</v>
      </c>
      <c r="H143">
        <v>70917470</v>
      </c>
      <c r="I143">
        <v>18107</v>
      </c>
      <c r="J143">
        <v>141834</v>
      </c>
      <c r="K143">
        <v>3</v>
      </c>
      <c r="L143">
        <v>6906023</v>
      </c>
      <c r="M143">
        <v>483</v>
      </c>
      <c r="N143">
        <v>422</v>
      </c>
      <c r="O143">
        <v>61</v>
      </c>
      <c r="P143">
        <v>87.4</v>
      </c>
      <c r="Q143">
        <v>70397970</v>
      </c>
      <c r="R143">
        <v>19024</v>
      </c>
      <c r="S143">
        <v>145751</v>
      </c>
      <c r="T143">
        <v>3</v>
      </c>
      <c r="U143">
        <v>6906023</v>
      </c>
      <c r="V143">
        <v>17</v>
      </c>
      <c r="W143">
        <v>12</v>
      </c>
      <c r="X143">
        <v>5</v>
      </c>
      <c r="Y143">
        <v>70.599999999999994</v>
      </c>
      <c r="Z143">
        <v>519500</v>
      </c>
      <c r="AA143">
        <v>10252</v>
      </c>
      <c r="AB143">
        <v>72875500</v>
      </c>
      <c r="AC143">
        <v>1302</v>
      </c>
      <c r="AD143">
        <v>455797518</v>
      </c>
    </row>
    <row r="144" spans="1:30" x14ac:dyDescent="0.3">
      <c r="A144" t="s">
        <v>23</v>
      </c>
      <c r="B144" t="s">
        <v>0</v>
      </c>
      <c r="C144" t="s">
        <v>229</v>
      </c>
      <c r="D144">
        <v>500</v>
      </c>
      <c r="E144">
        <v>497</v>
      </c>
      <c r="F144">
        <v>3</v>
      </c>
      <c r="G144">
        <v>99.4</v>
      </c>
      <c r="H144">
        <v>155194561</v>
      </c>
      <c r="I144">
        <v>67578</v>
      </c>
      <c r="J144">
        <v>310389</v>
      </c>
      <c r="K144">
        <v>295</v>
      </c>
      <c r="L144">
        <v>8790977</v>
      </c>
      <c r="M144">
        <v>274</v>
      </c>
      <c r="N144">
        <v>273</v>
      </c>
      <c r="O144">
        <v>1</v>
      </c>
      <c r="P144">
        <v>99.6</v>
      </c>
      <c r="Q144">
        <v>73366354</v>
      </c>
      <c r="R144">
        <v>45048</v>
      </c>
      <c r="S144">
        <v>267760</v>
      </c>
      <c r="T144">
        <v>615</v>
      </c>
      <c r="U144">
        <v>8790977</v>
      </c>
      <c r="V144">
        <v>226</v>
      </c>
      <c r="W144">
        <v>224</v>
      </c>
      <c r="X144">
        <v>2</v>
      </c>
      <c r="Y144">
        <v>99.1</v>
      </c>
      <c r="Z144">
        <v>81828207</v>
      </c>
      <c r="AA144">
        <v>104598</v>
      </c>
      <c r="AB144">
        <v>133880000</v>
      </c>
      <c r="AC144">
        <v>305655</v>
      </c>
      <c r="AD144">
        <v>26372931</v>
      </c>
    </row>
    <row r="145" spans="1:30" x14ac:dyDescent="0.3">
      <c r="A145" t="s">
        <v>23</v>
      </c>
      <c r="B145" t="s">
        <v>0</v>
      </c>
      <c r="C145" t="s">
        <v>231</v>
      </c>
      <c r="D145">
        <v>494</v>
      </c>
      <c r="E145">
        <v>290</v>
      </c>
      <c r="F145">
        <v>204</v>
      </c>
      <c r="G145">
        <v>58.7</v>
      </c>
      <c r="H145">
        <v>15417232</v>
      </c>
      <c r="I145">
        <v>1774</v>
      </c>
      <c r="J145">
        <v>31208</v>
      </c>
      <c r="K145">
        <v>3</v>
      </c>
      <c r="L145">
        <v>2266375</v>
      </c>
      <c r="M145">
        <v>346</v>
      </c>
      <c r="N145">
        <v>185</v>
      </c>
      <c r="O145">
        <v>161</v>
      </c>
      <c r="P145">
        <v>53.5</v>
      </c>
      <c r="Q145">
        <v>9245822</v>
      </c>
      <c r="R145">
        <v>1108</v>
      </c>
      <c r="S145">
        <v>26722</v>
      </c>
      <c r="T145">
        <v>4</v>
      </c>
      <c r="U145">
        <v>2266375</v>
      </c>
      <c r="V145">
        <v>148</v>
      </c>
      <c r="W145">
        <v>105</v>
      </c>
      <c r="X145">
        <v>43</v>
      </c>
      <c r="Y145">
        <v>70.900000000000006</v>
      </c>
      <c r="Z145">
        <v>6171410</v>
      </c>
      <c r="AA145">
        <v>7658</v>
      </c>
      <c r="AB145">
        <v>13200668</v>
      </c>
      <c r="AC145">
        <v>1160</v>
      </c>
      <c r="AD145">
        <v>462340500</v>
      </c>
    </row>
    <row r="146" spans="1:30" x14ac:dyDescent="0.3">
      <c r="A146" t="s">
        <v>23</v>
      </c>
      <c r="B146" t="s">
        <v>0</v>
      </c>
      <c r="C146" t="s">
        <v>230</v>
      </c>
      <c r="D146">
        <v>500</v>
      </c>
      <c r="E146">
        <v>432</v>
      </c>
      <c r="F146">
        <v>68</v>
      </c>
      <c r="G146">
        <v>86.4</v>
      </c>
      <c r="H146">
        <v>51672222</v>
      </c>
      <c r="I146">
        <v>5174</v>
      </c>
      <c r="J146">
        <v>103344</v>
      </c>
      <c r="K146">
        <v>2</v>
      </c>
      <c r="L146">
        <v>9326271</v>
      </c>
      <c r="M146">
        <v>486</v>
      </c>
      <c r="N146">
        <v>422</v>
      </c>
      <c r="O146">
        <v>64</v>
      </c>
      <c r="P146">
        <v>86.8</v>
      </c>
      <c r="Q146">
        <v>51595394</v>
      </c>
      <c r="R146">
        <v>5247</v>
      </c>
      <c r="S146">
        <v>106163</v>
      </c>
      <c r="T146">
        <v>2</v>
      </c>
      <c r="U146">
        <v>9326271</v>
      </c>
      <c r="V146">
        <v>14</v>
      </c>
      <c r="W146">
        <v>10</v>
      </c>
      <c r="X146">
        <v>4</v>
      </c>
      <c r="Y146">
        <v>71.400000000000006</v>
      </c>
      <c r="Z146">
        <v>76828</v>
      </c>
      <c r="AA146">
        <v>2347</v>
      </c>
      <c r="AB146">
        <v>53081500</v>
      </c>
      <c r="AC146">
        <v>864</v>
      </c>
      <c r="AD146">
        <v>634186428</v>
      </c>
    </row>
    <row r="147" spans="1:30" x14ac:dyDescent="0.3">
      <c r="A147" t="s">
        <v>22</v>
      </c>
      <c r="B147" t="s">
        <v>0</v>
      </c>
      <c r="C147" t="s">
        <v>231</v>
      </c>
      <c r="D147">
        <v>500</v>
      </c>
      <c r="E147">
        <v>405</v>
      </c>
      <c r="F147">
        <v>95</v>
      </c>
      <c r="G147">
        <v>81</v>
      </c>
      <c r="H147">
        <v>12572365</v>
      </c>
      <c r="I147">
        <v>2159</v>
      </c>
      <c r="J147">
        <v>25144</v>
      </c>
      <c r="K147">
        <v>2</v>
      </c>
      <c r="L147">
        <v>5275340</v>
      </c>
      <c r="M147">
        <v>474</v>
      </c>
      <c r="N147">
        <v>380</v>
      </c>
      <c r="O147">
        <v>94</v>
      </c>
      <c r="P147">
        <v>80.2</v>
      </c>
      <c r="Q147">
        <v>11870671</v>
      </c>
      <c r="R147">
        <v>2083</v>
      </c>
      <c r="S147">
        <v>25043</v>
      </c>
      <c r="T147">
        <v>2</v>
      </c>
      <c r="U147">
        <v>5275340</v>
      </c>
      <c r="V147">
        <v>26</v>
      </c>
      <c r="W147">
        <v>25</v>
      </c>
      <c r="X147">
        <v>1</v>
      </c>
      <c r="Y147">
        <v>96.2</v>
      </c>
      <c r="Z147">
        <v>701694</v>
      </c>
      <c r="AA147">
        <v>10690</v>
      </c>
      <c r="AB147">
        <v>12521500</v>
      </c>
      <c r="AC147">
        <v>810</v>
      </c>
      <c r="AD147">
        <v>501157300</v>
      </c>
    </row>
    <row r="148" spans="1:30" x14ac:dyDescent="0.3">
      <c r="A148" t="s">
        <v>22</v>
      </c>
      <c r="B148" t="s">
        <v>0</v>
      </c>
      <c r="C148" t="s">
        <v>230</v>
      </c>
      <c r="D148">
        <v>245</v>
      </c>
      <c r="E148">
        <v>111</v>
      </c>
      <c r="F148">
        <v>134</v>
      </c>
      <c r="G148">
        <v>45.3</v>
      </c>
      <c r="H148">
        <v>1731026</v>
      </c>
      <c r="I148">
        <v>804</v>
      </c>
      <c r="J148">
        <v>7065</v>
      </c>
      <c r="K148">
        <v>1</v>
      </c>
      <c r="L148">
        <v>674312</v>
      </c>
      <c r="M148">
        <v>219</v>
      </c>
      <c r="N148">
        <v>101</v>
      </c>
      <c r="O148">
        <v>118</v>
      </c>
      <c r="P148">
        <v>46.1</v>
      </c>
      <c r="Q148">
        <v>1637727</v>
      </c>
      <c r="R148">
        <v>804</v>
      </c>
      <c r="S148">
        <v>7478</v>
      </c>
      <c r="T148">
        <v>1</v>
      </c>
      <c r="U148">
        <v>674312</v>
      </c>
      <c r="V148">
        <v>26</v>
      </c>
      <c r="W148">
        <v>10</v>
      </c>
      <c r="X148">
        <v>16</v>
      </c>
      <c r="Y148">
        <v>38.5</v>
      </c>
      <c r="Z148">
        <v>93299</v>
      </c>
      <c r="AA148">
        <v>870</v>
      </c>
      <c r="AB148">
        <v>1832110</v>
      </c>
      <c r="AC148">
        <v>111</v>
      </c>
      <c r="AD148">
        <v>90357808</v>
      </c>
    </row>
    <row r="149" spans="1:30" x14ac:dyDescent="0.3">
      <c r="A149" t="s">
        <v>21</v>
      </c>
      <c r="B149" t="s">
        <v>0</v>
      </c>
      <c r="C149" t="s">
        <v>229</v>
      </c>
      <c r="D149">
        <v>170</v>
      </c>
      <c r="E149">
        <v>69</v>
      </c>
      <c r="F149">
        <v>101</v>
      </c>
      <c r="G149">
        <v>40.6</v>
      </c>
      <c r="H149">
        <v>6883407</v>
      </c>
      <c r="I149">
        <v>509</v>
      </c>
      <c r="J149">
        <v>40490</v>
      </c>
      <c r="K149">
        <v>3</v>
      </c>
      <c r="L149">
        <v>2044019</v>
      </c>
      <c r="M149">
        <v>57</v>
      </c>
      <c r="N149">
        <v>20</v>
      </c>
      <c r="O149">
        <v>37</v>
      </c>
      <c r="P149">
        <v>35.1</v>
      </c>
      <c r="Q149">
        <v>406380</v>
      </c>
      <c r="R149">
        <v>412</v>
      </c>
      <c r="S149">
        <v>7129</v>
      </c>
      <c r="T149">
        <v>3</v>
      </c>
      <c r="U149">
        <v>329692</v>
      </c>
      <c r="V149">
        <v>113</v>
      </c>
      <c r="W149">
        <v>49</v>
      </c>
      <c r="X149">
        <v>64</v>
      </c>
      <c r="Y149">
        <v>43.4</v>
      </c>
      <c r="Z149">
        <v>6477027</v>
      </c>
      <c r="AA149">
        <v>657</v>
      </c>
      <c r="AB149">
        <v>1211930</v>
      </c>
      <c r="AC149">
        <v>207</v>
      </c>
      <c r="AD149">
        <v>33298892</v>
      </c>
    </row>
    <row r="150" spans="1:30" x14ac:dyDescent="0.3">
      <c r="A150" t="s">
        <v>21</v>
      </c>
      <c r="B150" t="s">
        <v>0</v>
      </c>
      <c r="C150" t="s">
        <v>231</v>
      </c>
      <c r="D150">
        <v>228</v>
      </c>
      <c r="E150">
        <v>109</v>
      </c>
      <c r="F150">
        <v>119</v>
      </c>
      <c r="G150">
        <v>47.8</v>
      </c>
      <c r="H150">
        <v>188067329</v>
      </c>
      <c r="I150">
        <v>756</v>
      </c>
      <c r="J150">
        <v>824856</v>
      </c>
      <c r="K150">
        <v>0</v>
      </c>
      <c r="L150">
        <v>34643033</v>
      </c>
      <c r="M150">
        <v>96</v>
      </c>
      <c r="N150">
        <v>16</v>
      </c>
      <c r="O150">
        <v>80</v>
      </c>
      <c r="P150">
        <v>16.7</v>
      </c>
      <c r="Q150">
        <v>3487770</v>
      </c>
      <c r="R150">
        <v>54</v>
      </c>
      <c r="S150">
        <v>36330</v>
      </c>
      <c r="T150">
        <v>0</v>
      </c>
      <c r="U150">
        <v>1665435</v>
      </c>
      <c r="V150">
        <v>132</v>
      </c>
      <c r="W150">
        <v>93</v>
      </c>
      <c r="X150">
        <v>39</v>
      </c>
      <c r="Y150">
        <v>70.5</v>
      </c>
      <c r="Z150">
        <v>184579559</v>
      </c>
      <c r="AA150">
        <v>7484</v>
      </c>
      <c r="AB150">
        <v>8283240</v>
      </c>
      <c r="AC150">
        <v>0</v>
      </c>
      <c r="AD150">
        <v>198186765</v>
      </c>
    </row>
    <row r="151" spans="1:30" x14ac:dyDescent="0.3">
      <c r="A151" t="s">
        <v>21</v>
      </c>
      <c r="B151" t="s">
        <v>0</v>
      </c>
      <c r="C151" t="s">
        <v>230</v>
      </c>
      <c r="D151">
        <v>500</v>
      </c>
      <c r="E151">
        <v>365</v>
      </c>
      <c r="F151">
        <v>135</v>
      </c>
      <c r="G151">
        <v>73</v>
      </c>
      <c r="H151">
        <v>119799825</v>
      </c>
      <c r="I151">
        <v>11036</v>
      </c>
      <c r="J151">
        <v>239599</v>
      </c>
      <c r="K151">
        <v>0</v>
      </c>
      <c r="L151">
        <v>16526653</v>
      </c>
      <c r="M151">
        <v>437</v>
      </c>
      <c r="N151">
        <v>338</v>
      </c>
      <c r="O151">
        <v>99</v>
      </c>
      <c r="P151">
        <v>77.3</v>
      </c>
      <c r="Q151">
        <v>85507240</v>
      </c>
      <c r="R151">
        <v>15956</v>
      </c>
      <c r="S151">
        <v>195668</v>
      </c>
      <c r="T151">
        <v>1</v>
      </c>
      <c r="U151">
        <v>15701488</v>
      </c>
      <c r="V151">
        <v>63</v>
      </c>
      <c r="W151">
        <v>27</v>
      </c>
      <c r="X151">
        <v>36</v>
      </c>
      <c r="Y151">
        <v>42.9</v>
      </c>
      <c r="Z151">
        <v>34292585</v>
      </c>
      <c r="AA151">
        <v>449</v>
      </c>
      <c r="AB151">
        <v>97834000</v>
      </c>
      <c r="AC151">
        <v>365</v>
      </c>
      <c r="AD151">
        <v>2119700880</v>
      </c>
    </row>
    <row r="152" spans="1:30" x14ac:dyDescent="0.3">
      <c r="A152" t="s">
        <v>20</v>
      </c>
      <c r="B152" t="s">
        <v>0</v>
      </c>
      <c r="C152" t="s">
        <v>229</v>
      </c>
      <c r="D152">
        <v>300</v>
      </c>
      <c r="E152">
        <v>291</v>
      </c>
      <c r="F152">
        <v>9</v>
      </c>
      <c r="G152">
        <v>97</v>
      </c>
      <c r="H152">
        <v>745158926</v>
      </c>
      <c r="I152">
        <v>36595</v>
      </c>
      <c r="J152">
        <v>2483863</v>
      </c>
      <c r="K152">
        <v>254</v>
      </c>
      <c r="L152">
        <v>697295360</v>
      </c>
      <c r="M152">
        <v>154</v>
      </c>
      <c r="N152">
        <v>146</v>
      </c>
      <c r="O152">
        <v>8</v>
      </c>
      <c r="P152">
        <v>94.8</v>
      </c>
      <c r="Q152">
        <v>19772437</v>
      </c>
      <c r="R152">
        <v>25141</v>
      </c>
      <c r="S152">
        <v>128392</v>
      </c>
      <c r="T152">
        <v>254</v>
      </c>
      <c r="U152">
        <v>1683575</v>
      </c>
      <c r="V152">
        <v>146</v>
      </c>
      <c r="W152">
        <v>145</v>
      </c>
      <c r="X152">
        <v>1</v>
      </c>
      <c r="Y152">
        <v>99.3</v>
      </c>
      <c r="Z152">
        <v>725386489</v>
      </c>
      <c r="AA152">
        <v>47112</v>
      </c>
      <c r="AB152">
        <v>38517600</v>
      </c>
      <c r="AC152">
        <v>73914</v>
      </c>
      <c r="AD152">
        <v>15152175</v>
      </c>
    </row>
    <row r="153" spans="1:30" x14ac:dyDescent="0.3">
      <c r="A153" t="s">
        <v>20</v>
      </c>
      <c r="B153" t="s">
        <v>0</v>
      </c>
      <c r="C153" t="s">
        <v>231</v>
      </c>
      <c r="D153">
        <v>49</v>
      </c>
      <c r="E153">
        <v>33</v>
      </c>
      <c r="F153">
        <v>16</v>
      </c>
      <c r="G153">
        <v>67.3</v>
      </c>
      <c r="H153">
        <v>2103755</v>
      </c>
      <c r="I153">
        <v>7236</v>
      </c>
      <c r="J153">
        <v>42933</v>
      </c>
      <c r="K153">
        <v>10</v>
      </c>
      <c r="L153">
        <v>503840</v>
      </c>
      <c r="M153">
        <v>7</v>
      </c>
      <c r="N153">
        <v>5</v>
      </c>
      <c r="O153">
        <v>2</v>
      </c>
      <c r="P153">
        <v>71.400000000000006</v>
      </c>
      <c r="Q153">
        <v>593661</v>
      </c>
      <c r="R153">
        <v>17057</v>
      </c>
      <c r="S153">
        <v>84808</v>
      </c>
      <c r="T153">
        <v>10</v>
      </c>
      <c r="U153">
        <v>494272</v>
      </c>
      <c r="V153">
        <v>42</v>
      </c>
      <c r="W153">
        <v>28</v>
      </c>
      <c r="X153">
        <v>14</v>
      </c>
      <c r="Y153">
        <v>66.7</v>
      </c>
      <c r="Z153">
        <v>1510094</v>
      </c>
      <c r="AA153">
        <v>5323</v>
      </c>
      <c r="AB153">
        <v>4155592</v>
      </c>
      <c r="AC153">
        <v>330</v>
      </c>
      <c r="AD153">
        <v>7908352</v>
      </c>
    </row>
    <row r="154" spans="1:30" x14ac:dyDescent="0.3">
      <c r="A154" t="s">
        <v>20</v>
      </c>
      <c r="B154" t="s">
        <v>0</v>
      </c>
      <c r="C154" t="s">
        <v>230</v>
      </c>
      <c r="D154">
        <v>95</v>
      </c>
      <c r="E154">
        <v>88</v>
      </c>
      <c r="F154">
        <v>7</v>
      </c>
      <c r="G154">
        <v>92.6</v>
      </c>
      <c r="H154">
        <v>22517753</v>
      </c>
      <c r="I154">
        <v>59744</v>
      </c>
      <c r="J154">
        <v>237028</v>
      </c>
      <c r="K154">
        <v>10</v>
      </c>
      <c r="L154">
        <v>7768695</v>
      </c>
      <c r="M154">
        <v>52</v>
      </c>
      <c r="N154">
        <v>51</v>
      </c>
      <c r="O154">
        <v>1</v>
      </c>
      <c r="P154">
        <v>98.1</v>
      </c>
      <c r="Q154">
        <v>19246616</v>
      </c>
      <c r="R154">
        <v>76900</v>
      </c>
      <c r="S154">
        <v>370127</v>
      </c>
      <c r="T154">
        <v>10</v>
      </c>
      <c r="U154">
        <v>7768695</v>
      </c>
      <c r="V154">
        <v>43</v>
      </c>
      <c r="W154">
        <v>37</v>
      </c>
      <c r="X154">
        <v>6</v>
      </c>
      <c r="Y154">
        <v>86</v>
      </c>
      <c r="Z154">
        <v>3271137</v>
      </c>
      <c r="AA154">
        <v>31895</v>
      </c>
      <c r="AB154">
        <v>35162065</v>
      </c>
      <c r="AC154">
        <v>880</v>
      </c>
      <c r="AD154">
        <v>54380865</v>
      </c>
    </row>
    <row r="155" spans="1:30" x14ac:dyDescent="0.3">
      <c r="A155" t="s">
        <v>19</v>
      </c>
      <c r="B155" t="s">
        <v>0</v>
      </c>
      <c r="C155" t="s">
        <v>229</v>
      </c>
      <c r="D155">
        <v>500</v>
      </c>
      <c r="E155">
        <v>386</v>
      </c>
      <c r="F155">
        <v>114</v>
      </c>
      <c r="G155">
        <v>77.2</v>
      </c>
      <c r="H155">
        <v>2086677801</v>
      </c>
      <c r="I155">
        <v>23106</v>
      </c>
      <c r="J155">
        <v>4173355</v>
      </c>
      <c r="K155">
        <v>7</v>
      </c>
      <c r="L155">
        <v>522451366</v>
      </c>
      <c r="M155">
        <v>312</v>
      </c>
      <c r="N155">
        <v>227</v>
      </c>
      <c r="O155">
        <v>85</v>
      </c>
      <c r="P155">
        <v>72.8</v>
      </c>
      <c r="Q155">
        <v>85070692</v>
      </c>
      <c r="R155">
        <v>13034</v>
      </c>
      <c r="S155">
        <v>272662</v>
      </c>
      <c r="T155">
        <v>7</v>
      </c>
      <c r="U155">
        <v>10993597</v>
      </c>
      <c r="V155">
        <v>188</v>
      </c>
      <c r="W155">
        <v>159</v>
      </c>
      <c r="X155">
        <v>29</v>
      </c>
      <c r="Y155">
        <v>84.6</v>
      </c>
      <c r="Z155">
        <v>2001607109</v>
      </c>
      <c r="AA155">
        <v>136991</v>
      </c>
      <c r="AB155">
        <v>136331000</v>
      </c>
      <c r="AC155">
        <v>2702</v>
      </c>
      <c r="AD155">
        <v>1253270058</v>
      </c>
    </row>
    <row r="156" spans="1:30" x14ac:dyDescent="0.3">
      <c r="A156" t="s">
        <v>18</v>
      </c>
      <c r="B156" t="s">
        <v>0</v>
      </c>
      <c r="C156" t="s">
        <v>229</v>
      </c>
      <c r="D156">
        <v>412</v>
      </c>
      <c r="E156">
        <v>327</v>
      </c>
      <c r="F156">
        <v>85</v>
      </c>
      <c r="G156">
        <v>79.400000000000006</v>
      </c>
      <c r="H156">
        <v>457504118</v>
      </c>
      <c r="I156">
        <v>301311</v>
      </c>
      <c r="J156">
        <v>1110446</v>
      </c>
      <c r="K156">
        <v>7</v>
      </c>
      <c r="L156">
        <v>20020944</v>
      </c>
      <c r="M156">
        <v>161</v>
      </c>
      <c r="N156">
        <v>109</v>
      </c>
      <c r="O156">
        <v>52</v>
      </c>
      <c r="P156">
        <v>67.7</v>
      </c>
      <c r="Q156">
        <v>71171125</v>
      </c>
      <c r="R156">
        <v>64582</v>
      </c>
      <c r="S156">
        <v>442056</v>
      </c>
      <c r="T156">
        <v>7</v>
      </c>
      <c r="U156">
        <v>8123717</v>
      </c>
      <c r="V156">
        <v>251</v>
      </c>
      <c r="W156">
        <v>218</v>
      </c>
      <c r="X156">
        <v>33</v>
      </c>
      <c r="Y156">
        <v>86.9</v>
      </c>
      <c r="Z156">
        <v>386332993</v>
      </c>
      <c r="AA156">
        <v>739697</v>
      </c>
      <c r="AB156">
        <v>182127072</v>
      </c>
      <c r="AC156">
        <v>2289</v>
      </c>
      <c r="AD156">
        <v>690515945</v>
      </c>
    </row>
    <row r="157" spans="1:30" x14ac:dyDescent="0.3">
      <c r="A157" t="s">
        <v>18</v>
      </c>
      <c r="B157" t="s">
        <v>0</v>
      </c>
      <c r="C157" t="s">
        <v>231</v>
      </c>
      <c r="D157">
        <v>500</v>
      </c>
      <c r="E157">
        <v>476</v>
      </c>
      <c r="F157">
        <v>24</v>
      </c>
      <c r="G157">
        <v>95.2</v>
      </c>
      <c r="H157">
        <v>4417839261</v>
      </c>
      <c r="I157">
        <v>3437009</v>
      </c>
      <c r="J157">
        <v>8835678</v>
      </c>
      <c r="K157">
        <v>1</v>
      </c>
      <c r="L157">
        <v>895642780</v>
      </c>
      <c r="M157">
        <v>266</v>
      </c>
      <c r="N157">
        <v>251</v>
      </c>
      <c r="O157">
        <v>15</v>
      </c>
      <c r="P157">
        <v>94.4</v>
      </c>
      <c r="Q157">
        <v>3226822477</v>
      </c>
      <c r="R157">
        <v>4553558</v>
      </c>
      <c r="S157">
        <v>12130911</v>
      </c>
      <c r="T157">
        <v>7</v>
      </c>
      <c r="U157">
        <v>895642780</v>
      </c>
      <c r="V157">
        <v>234</v>
      </c>
      <c r="W157">
        <v>225</v>
      </c>
      <c r="X157">
        <v>9</v>
      </c>
      <c r="Y157">
        <v>96.2</v>
      </c>
      <c r="Z157">
        <v>1191016784</v>
      </c>
      <c r="AA157">
        <v>2720591</v>
      </c>
      <c r="AB157">
        <v>6065455500</v>
      </c>
      <c r="AC157">
        <v>3332</v>
      </c>
      <c r="AD157">
        <v>21495426720</v>
      </c>
    </row>
    <row r="158" spans="1:30" x14ac:dyDescent="0.3">
      <c r="A158" t="s">
        <v>18</v>
      </c>
      <c r="B158" t="s">
        <v>0</v>
      </c>
      <c r="C158" t="s">
        <v>230</v>
      </c>
      <c r="D158">
        <v>451</v>
      </c>
      <c r="E158">
        <v>389</v>
      </c>
      <c r="F158">
        <v>62</v>
      </c>
      <c r="G158">
        <v>86.3</v>
      </c>
      <c r="H158">
        <v>667005555</v>
      </c>
      <c r="I158">
        <v>172442</v>
      </c>
      <c r="J158">
        <v>1478948</v>
      </c>
      <c r="K158">
        <v>6</v>
      </c>
      <c r="L158">
        <v>56069495</v>
      </c>
      <c r="M158">
        <v>325</v>
      </c>
      <c r="N158">
        <v>268</v>
      </c>
      <c r="O158">
        <v>57</v>
      </c>
      <c r="P158">
        <v>82.5</v>
      </c>
      <c r="Q158">
        <v>552665155</v>
      </c>
      <c r="R158">
        <v>11418</v>
      </c>
      <c r="S158">
        <v>1700508</v>
      </c>
      <c r="T158">
        <v>6</v>
      </c>
      <c r="U158">
        <v>56069495</v>
      </c>
      <c r="V158">
        <v>126</v>
      </c>
      <c r="W158">
        <v>121</v>
      </c>
      <c r="X158">
        <v>5</v>
      </c>
      <c r="Y158">
        <v>96</v>
      </c>
      <c r="Z158">
        <v>114340400</v>
      </c>
      <c r="AA158">
        <v>398060</v>
      </c>
      <c r="AB158">
        <v>766929108</v>
      </c>
      <c r="AC158">
        <v>2334</v>
      </c>
      <c r="AD158">
        <v>3476308690</v>
      </c>
    </row>
    <row r="159" spans="1:30" x14ac:dyDescent="0.3">
      <c r="A159" t="s">
        <v>17</v>
      </c>
      <c r="B159" t="s">
        <v>0</v>
      </c>
      <c r="C159" t="s">
        <v>231</v>
      </c>
      <c r="D159">
        <v>500</v>
      </c>
      <c r="E159">
        <v>444</v>
      </c>
      <c r="F159">
        <v>56</v>
      </c>
      <c r="G159">
        <v>88.8</v>
      </c>
      <c r="H159">
        <v>1033026819</v>
      </c>
      <c r="I159">
        <v>125769</v>
      </c>
      <c r="J159">
        <v>2066053</v>
      </c>
      <c r="K159">
        <v>13</v>
      </c>
      <c r="L159">
        <v>241108631</v>
      </c>
      <c r="M159">
        <v>133</v>
      </c>
      <c r="N159">
        <v>90</v>
      </c>
      <c r="O159">
        <v>43</v>
      </c>
      <c r="P159">
        <v>67.7</v>
      </c>
      <c r="Q159">
        <v>615098796</v>
      </c>
      <c r="R159">
        <v>17854</v>
      </c>
      <c r="S159">
        <v>4624802</v>
      </c>
      <c r="T159">
        <v>14</v>
      </c>
      <c r="U159">
        <v>241108631</v>
      </c>
      <c r="V159">
        <v>367</v>
      </c>
      <c r="W159">
        <v>354</v>
      </c>
      <c r="X159">
        <v>13</v>
      </c>
      <c r="Y159">
        <v>96.5</v>
      </c>
      <c r="Z159">
        <v>417928023</v>
      </c>
      <c r="AA159">
        <v>176262</v>
      </c>
      <c r="AB159">
        <v>2312401000</v>
      </c>
      <c r="AC159">
        <v>6216</v>
      </c>
      <c r="AD159">
        <v>13502083336</v>
      </c>
    </row>
    <row r="160" spans="1:30" x14ac:dyDescent="0.3">
      <c r="A160" t="s">
        <v>17</v>
      </c>
      <c r="B160" t="s">
        <v>0</v>
      </c>
      <c r="C160" t="s">
        <v>230</v>
      </c>
      <c r="D160">
        <v>250</v>
      </c>
      <c r="E160">
        <v>233</v>
      </c>
      <c r="F160">
        <v>17</v>
      </c>
      <c r="G160">
        <v>93.2</v>
      </c>
      <c r="H160">
        <v>571238821</v>
      </c>
      <c r="I160">
        <v>33860</v>
      </c>
      <c r="J160">
        <v>2284955</v>
      </c>
      <c r="K160">
        <v>5</v>
      </c>
      <c r="L160">
        <v>143729438</v>
      </c>
      <c r="M160">
        <v>144</v>
      </c>
      <c r="N160">
        <v>131</v>
      </c>
      <c r="O160">
        <v>13</v>
      </c>
      <c r="P160">
        <v>91</v>
      </c>
      <c r="Q160">
        <v>316357760</v>
      </c>
      <c r="R160">
        <v>45554</v>
      </c>
      <c r="S160">
        <v>2196928</v>
      </c>
      <c r="T160">
        <v>5</v>
      </c>
      <c r="U160">
        <v>39732400</v>
      </c>
      <c r="V160">
        <v>106</v>
      </c>
      <c r="W160">
        <v>102</v>
      </c>
      <c r="X160">
        <v>4</v>
      </c>
      <c r="Y160">
        <v>96.2</v>
      </c>
      <c r="Z160">
        <v>254881061</v>
      </c>
      <c r="AA160">
        <v>21049</v>
      </c>
      <c r="AB160">
        <v>549232000</v>
      </c>
      <c r="AC160">
        <v>1165</v>
      </c>
      <c r="AD160">
        <v>675450800</v>
      </c>
    </row>
    <row r="161" spans="1:30" x14ac:dyDescent="0.3">
      <c r="A161" t="s">
        <v>16</v>
      </c>
      <c r="B161" t="s">
        <v>0</v>
      </c>
      <c r="C161" t="s">
        <v>231</v>
      </c>
      <c r="D161">
        <v>104</v>
      </c>
      <c r="E161">
        <v>41</v>
      </c>
      <c r="F161">
        <v>63</v>
      </c>
      <c r="G161">
        <v>39.4</v>
      </c>
      <c r="H161">
        <v>15707039</v>
      </c>
      <c r="I161">
        <v>490</v>
      </c>
      <c r="J161">
        <v>151029</v>
      </c>
      <c r="K161">
        <v>2</v>
      </c>
      <c r="L161">
        <v>7879430</v>
      </c>
      <c r="M161">
        <v>41</v>
      </c>
      <c r="N161">
        <v>8</v>
      </c>
      <c r="O161">
        <v>33</v>
      </c>
      <c r="P161">
        <v>19.5</v>
      </c>
      <c r="Q161">
        <v>101915</v>
      </c>
      <c r="R161">
        <v>94</v>
      </c>
      <c r="S161">
        <v>2485</v>
      </c>
      <c r="T161">
        <v>2</v>
      </c>
      <c r="U161">
        <v>42501</v>
      </c>
      <c r="V161">
        <v>63</v>
      </c>
      <c r="W161">
        <v>33</v>
      </c>
      <c r="X161">
        <v>30</v>
      </c>
      <c r="Y161">
        <v>52.4</v>
      </c>
      <c r="Z161">
        <v>15605124</v>
      </c>
      <c r="AA161">
        <v>1318</v>
      </c>
      <c r="AB161">
        <v>258440</v>
      </c>
      <c r="AC161">
        <v>82</v>
      </c>
      <c r="AD161">
        <v>2677563</v>
      </c>
    </row>
    <row r="162" spans="1:30" x14ac:dyDescent="0.3">
      <c r="A162" t="s">
        <v>16</v>
      </c>
      <c r="B162" t="s">
        <v>0</v>
      </c>
      <c r="C162" t="s">
        <v>230</v>
      </c>
      <c r="D162">
        <v>186</v>
      </c>
      <c r="E162">
        <v>161</v>
      </c>
      <c r="F162">
        <v>25</v>
      </c>
      <c r="G162">
        <v>86.6</v>
      </c>
      <c r="H162">
        <v>42834216</v>
      </c>
      <c r="I162">
        <v>3053</v>
      </c>
      <c r="J162">
        <v>230291</v>
      </c>
      <c r="K162">
        <v>1</v>
      </c>
      <c r="L162">
        <v>26276889</v>
      </c>
      <c r="M162">
        <v>157</v>
      </c>
      <c r="N162">
        <v>133</v>
      </c>
      <c r="O162">
        <v>24</v>
      </c>
      <c r="P162">
        <v>84.7</v>
      </c>
      <c r="Q162">
        <v>36864093</v>
      </c>
      <c r="R162">
        <v>2629</v>
      </c>
      <c r="S162">
        <v>234803</v>
      </c>
      <c r="T162">
        <v>1</v>
      </c>
      <c r="U162">
        <v>26276889</v>
      </c>
      <c r="V162">
        <v>29</v>
      </c>
      <c r="W162">
        <v>28</v>
      </c>
      <c r="X162">
        <v>1</v>
      </c>
      <c r="Y162">
        <v>96.6</v>
      </c>
      <c r="Z162">
        <v>5970123</v>
      </c>
      <c r="AA162">
        <v>22274</v>
      </c>
      <c r="AB162">
        <v>43673358</v>
      </c>
      <c r="AC162">
        <v>161</v>
      </c>
      <c r="AD162">
        <v>656922225</v>
      </c>
    </row>
    <row r="163" spans="1:30" x14ac:dyDescent="0.3">
      <c r="A163" t="s">
        <v>15</v>
      </c>
      <c r="B163" t="s">
        <v>0</v>
      </c>
      <c r="C163" t="s">
        <v>229</v>
      </c>
      <c r="D163">
        <v>500</v>
      </c>
      <c r="E163">
        <v>494</v>
      </c>
      <c r="F163">
        <v>6</v>
      </c>
      <c r="G163">
        <v>98.8</v>
      </c>
      <c r="H163">
        <v>290050315</v>
      </c>
      <c r="I163">
        <v>87529</v>
      </c>
      <c r="J163">
        <v>580100</v>
      </c>
      <c r="K163">
        <v>441</v>
      </c>
      <c r="L163">
        <v>30626309</v>
      </c>
      <c r="M163">
        <v>43</v>
      </c>
      <c r="N163">
        <v>40</v>
      </c>
      <c r="O163">
        <v>3</v>
      </c>
      <c r="P163">
        <v>93</v>
      </c>
      <c r="Q163">
        <v>6837677</v>
      </c>
      <c r="R163">
        <v>22876</v>
      </c>
      <c r="S163">
        <v>159015</v>
      </c>
      <c r="T163">
        <v>441</v>
      </c>
      <c r="U163">
        <v>1785755</v>
      </c>
      <c r="V163">
        <v>457</v>
      </c>
      <c r="W163">
        <v>454</v>
      </c>
      <c r="X163">
        <v>3</v>
      </c>
      <c r="Y163">
        <v>99.3</v>
      </c>
      <c r="Z163">
        <v>283212638</v>
      </c>
      <c r="AA163">
        <v>93074</v>
      </c>
      <c r="AB163">
        <v>79507500</v>
      </c>
      <c r="AC163">
        <v>217854</v>
      </c>
      <c r="AD163">
        <v>10714530</v>
      </c>
    </row>
    <row r="164" spans="1:30" x14ac:dyDescent="0.3">
      <c r="A164" t="s">
        <v>10</v>
      </c>
      <c r="B164" t="s">
        <v>0</v>
      </c>
      <c r="C164" t="s">
        <v>231</v>
      </c>
      <c r="D164">
        <v>100</v>
      </c>
      <c r="E164">
        <v>94</v>
      </c>
      <c r="F164">
        <v>6</v>
      </c>
      <c r="G164">
        <v>94</v>
      </c>
      <c r="H164">
        <v>14230525</v>
      </c>
      <c r="I164">
        <v>18279</v>
      </c>
      <c r="J164">
        <v>142305</v>
      </c>
      <c r="K164">
        <v>10</v>
      </c>
      <c r="L164">
        <v>3354604</v>
      </c>
      <c r="M164">
        <v>66</v>
      </c>
      <c r="N164">
        <v>63</v>
      </c>
      <c r="O164">
        <v>3</v>
      </c>
      <c r="P164">
        <v>95.5</v>
      </c>
      <c r="Q164">
        <v>10047405</v>
      </c>
      <c r="R164">
        <v>17049</v>
      </c>
      <c r="S164">
        <v>152233</v>
      </c>
      <c r="T164">
        <v>10</v>
      </c>
      <c r="U164">
        <v>3354604</v>
      </c>
      <c r="V164">
        <v>34</v>
      </c>
      <c r="W164">
        <v>31</v>
      </c>
      <c r="X164">
        <v>3</v>
      </c>
      <c r="Y164">
        <v>91.2</v>
      </c>
      <c r="Z164">
        <v>4183120</v>
      </c>
      <c r="AA164">
        <v>21833</v>
      </c>
      <c r="AB164">
        <v>15223300</v>
      </c>
      <c r="AC164">
        <v>940</v>
      </c>
      <c r="AD164">
        <v>20127624</v>
      </c>
    </row>
    <row r="165" spans="1:30" x14ac:dyDescent="0.3">
      <c r="A165" t="s">
        <v>15</v>
      </c>
      <c r="B165" t="s">
        <v>0</v>
      </c>
      <c r="C165" t="s">
        <v>231</v>
      </c>
      <c r="D165">
        <v>364</v>
      </c>
      <c r="E165">
        <v>142</v>
      </c>
      <c r="F165">
        <v>222</v>
      </c>
      <c r="G165">
        <v>39</v>
      </c>
      <c r="H165">
        <v>44133681</v>
      </c>
      <c r="I165">
        <v>501</v>
      </c>
      <c r="J165">
        <v>121246</v>
      </c>
      <c r="K165">
        <v>5</v>
      </c>
      <c r="L165">
        <v>30626309</v>
      </c>
      <c r="M165">
        <v>102</v>
      </c>
      <c r="N165">
        <v>21</v>
      </c>
      <c r="O165">
        <v>81</v>
      </c>
      <c r="P165">
        <v>20.6</v>
      </c>
      <c r="Q165">
        <v>2007982</v>
      </c>
      <c r="R165">
        <v>330</v>
      </c>
      <c r="S165">
        <v>19686</v>
      </c>
      <c r="T165">
        <v>9</v>
      </c>
      <c r="U165">
        <v>1785755</v>
      </c>
      <c r="V165">
        <v>262</v>
      </c>
      <c r="W165">
        <v>121</v>
      </c>
      <c r="X165">
        <v>141</v>
      </c>
      <c r="Y165">
        <v>46.2</v>
      </c>
      <c r="Z165">
        <v>42125699</v>
      </c>
      <c r="AA165">
        <v>685</v>
      </c>
      <c r="AB165">
        <v>7165704</v>
      </c>
      <c r="AC165">
        <v>1278</v>
      </c>
      <c r="AD165">
        <v>396437610</v>
      </c>
    </row>
    <row r="166" spans="1:30" x14ac:dyDescent="0.3">
      <c r="A166" t="s">
        <v>15</v>
      </c>
      <c r="B166" t="s">
        <v>0</v>
      </c>
      <c r="C166" t="s">
        <v>230</v>
      </c>
      <c r="D166">
        <v>199</v>
      </c>
      <c r="E166">
        <v>126</v>
      </c>
      <c r="F166">
        <v>73</v>
      </c>
      <c r="G166">
        <v>63.3</v>
      </c>
      <c r="H166">
        <v>40109000</v>
      </c>
      <c r="I166">
        <v>1346</v>
      </c>
      <c r="J166">
        <v>201552</v>
      </c>
      <c r="K166">
        <v>0</v>
      </c>
      <c r="L166">
        <v>30626309</v>
      </c>
      <c r="M166">
        <v>97</v>
      </c>
      <c r="N166">
        <v>71</v>
      </c>
      <c r="O166">
        <v>26</v>
      </c>
      <c r="P166">
        <v>73.2</v>
      </c>
      <c r="Q166">
        <v>2160431</v>
      </c>
      <c r="R166">
        <v>1549</v>
      </c>
      <c r="S166">
        <v>22272</v>
      </c>
      <c r="T166">
        <v>0</v>
      </c>
      <c r="U166">
        <v>1785755</v>
      </c>
      <c r="V166">
        <v>102</v>
      </c>
      <c r="W166">
        <v>55</v>
      </c>
      <c r="X166">
        <v>47</v>
      </c>
      <c r="Y166">
        <v>53.9</v>
      </c>
      <c r="Z166">
        <v>37948569</v>
      </c>
      <c r="AA166">
        <v>1058</v>
      </c>
      <c r="AB166">
        <v>4432128</v>
      </c>
      <c r="AC166">
        <v>0</v>
      </c>
      <c r="AD166">
        <v>130360115</v>
      </c>
    </row>
    <row r="167" spans="1:30" x14ac:dyDescent="0.3">
      <c r="A167" t="s">
        <v>14</v>
      </c>
      <c r="B167" t="s">
        <v>0</v>
      </c>
      <c r="C167" t="s">
        <v>229</v>
      </c>
      <c r="D167">
        <v>200</v>
      </c>
      <c r="E167">
        <v>190</v>
      </c>
      <c r="F167">
        <v>10</v>
      </c>
      <c r="G167">
        <v>95</v>
      </c>
      <c r="H167">
        <v>15424147</v>
      </c>
      <c r="I167">
        <v>26614</v>
      </c>
      <c r="J167">
        <v>77120</v>
      </c>
      <c r="K167">
        <v>111</v>
      </c>
      <c r="L167">
        <v>2329640</v>
      </c>
      <c r="M167">
        <v>98</v>
      </c>
      <c r="N167">
        <v>91</v>
      </c>
      <c r="O167">
        <v>7</v>
      </c>
      <c r="P167">
        <v>92.9</v>
      </c>
      <c r="Q167">
        <v>8531814</v>
      </c>
      <c r="R167">
        <v>25646</v>
      </c>
      <c r="S167">
        <v>87059</v>
      </c>
      <c r="T167">
        <v>244</v>
      </c>
      <c r="U167">
        <v>2329640</v>
      </c>
      <c r="V167">
        <v>102</v>
      </c>
      <c r="W167">
        <v>99</v>
      </c>
      <c r="X167">
        <v>3</v>
      </c>
      <c r="Y167">
        <v>97.1</v>
      </c>
      <c r="Z167">
        <v>6892333</v>
      </c>
      <c r="AA167">
        <v>26917</v>
      </c>
      <c r="AB167">
        <v>17411800</v>
      </c>
      <c r="AC167">
        <v>46360</v>
      </c>
      <c r="AD167">
        <v>23296400</v>
      </c>
    </row>
    <row r="168" spans="1:30" x14ac:dyDescent="0.3">
      <c r="A168" t="s">
        <v>14</v>
      </c>
      <c r="B168" t="s">
        <v>0</v>
      </c>
      <c r="C168" t="s">
        <v>231</v>
      </c>
      <c r="D168">
        <v>500</v>
      </c>
      <c r="E168">
        <v>485</v>
      </c>
      <c r="F168">
        <v>15</v>
      </c>
      <c r="G168">
        <v>97</v>
      </c>
      <c r="H168">
        <v>497405565</v>
      </c>
      <c r="I168">
        <v>46424</v>
      </c>
      <c r="J168">
        <v>994811</v>
      </c>
      <c r="K168">
        <v>58</v>
      </c>
      <c r="L168">
        <v>101778619</v>
      </c>
      <c r="M168">
        <v>251</v>
      </c>
      <c r="N168">
        <v>240</v>
      </c>
      <c r="O168">
        <v>11</v>
      </c>
      <c r="P168">
        <v>95.6</v>
      </c>
      <c r="Q168">
        <v>157996388</v>
      </c>
      <c r="R168">
        <v>43773</v>
      </c>
      <c r="S168">
        <v>629467</v>
      </c>
      <c r="T168">
        <v>58</v>
      </c>
      <c r="U168">
        <v>75529452</v>
      </c>
      <c r="V168">
        <v>249</v>
      </c>
      <c r="W168">
        <v>245</v>
      </c>
      <c r="X168">
        <v>4</v>
      </c>
      <c r="Y168">
        <v>98.4</v>
      </c>
      <c r="Z168">
        <v>339409177</v>
      </c>
      <c r="AA168">
        <v>48443</v>
      </c>
      <c r="AB168">
        <v>314733500</v>
      </c>
      <c r="AC168">
        <v>28130</v>
      </c>
      <c r="AD168">
        <v>1132941780</v>
      </c>
    </row>
    <row r="169" spans="1:30" x14ac:dyDescent="0.3">
      <c r="A169" t="s">
        <v>14</v>
      </c>
      <c r="B169" t="s">
        <v>0</v>
      </c>
      <c r="C169" t="s">
        <v>230</v>
      </c>
      <c r="D169">
        <v>500</v>
      </c>
      <c r="E169">
        <v>454</v>
      </c>
      <c r="F169">
        <v>46</v>
      </c>
      <c r="G169">
        <v>90.8</v>
      </c>
      <c r="H169">
        <v>422440081</v>
      </c>
      <c r="I169">
        <v>29213</v>
      </c>
      <c r="J169">
        <v>844880</v>
      </c>
      <c r="K169">
        <v>18</v>
      </c>
      <c r="L169">
        <v>258121558</v>
      </c>
      <c r="M169">
        <v>224</v>
      </c>
      <c r="N169">
        <v>195</v>
      </c>
      <c r="O169">
        <v>29</v>
      </c>
      <c r="P169">
        <v>87.1</v>
      </c>
      <c r="Q169">
        <v>380244592</v>
      </c>
      <c r="R169">
        <v>39536</v>
      </c>
      <c r="S169">
        <v>1697520</v>
      </c>
      <c r="T169">
        <v>18</v>
      </c>
      <c r="U169">
        <v>258121558</v>
      </c>
      <c r="V169">
        <v>276</v>
      </c>
      <c r="W169">
        <v>259</v>
      </c>
      <c r="X169">
        <v>17</v>
      </c>
      <c r="Y169">
        <v>93.8</v>
      </c>
      <c r="Z169">
        <v>42195489</v>
      </c>
      <c r="AA169">
        <v>22752</v>
      </c>
      <c r="AB169">
        <v>848760000</v>
      </c>
      <c r="AC169">
        <v>8172</v>
      </c>
      <c r="AD169">
        <v>11873591668</v>
      </c>
    </row>
    <row r="170" spans="1:30" x14ac:dyDescent="0.3">
      <c r="A170" t="s">
        <v>13</v>
      </c>
      <c r="B170" t="s">
        <v>0</v>
      </c>
      <c r="C170" t="s">
        <v>230</v>
      </c>
      <c r="D170">
        <v>167</v>
      </c>
      <c r="E170">
        <v>66</v>
      </c>
      <c r="F170">
        <v>101</v>
      </c>
      <c r="G170">
        <v>39.5</v>
      </c>
      <c r="H170">
        <v>10548948</v>
      </c>
      <c r="I170">
        <v>604</v>
      </c>
      <c r="J170">
        <v>63167</v>
      </c>
      <c r="K170">
        <v>1</v>
      </c>
      <c r="L170">
        <v>4793137</v>
      </c>
      <c r="M170">
        <v>132</v>
      </c>
      <c r="N170">
        <v>48</v>
      </c>
      <c r="O170">
        <v>84</v>
      </c>
      <c r="P170">
        <v>36.4</v>
      </c>
      <c r="Q170">
        <v>10422122</v>
      </c>
      <c r="R170">
        <v>572</v>
      </c>
      <c r="S170">
        <v>78955</v>
      </c>
      <c r="T170">
        <v>4</v>
      </c>
      <c r="U170">
        <v>4793137</v>
      </c>
      <c r="V170">
        <v>35</v>
      </c>
      <c r="W170">
        <v>18</v>
      </c>
      <c r="X170">
        <v>17</v>
      </c>
      <c r="Y170">
        <v>51.4</v>
      </c>
      <c r="Z170">
        <v>126826</v>
      </c>
      <c r="AA170">
        <v>1109</v>
      </c>
      <c r="AB170">
        <v>13185485</v>
      </c>
      <c r="AC170">
        <v>264</v>
      </c>
      <c r="AD170">
        <v>484106837</v>
      </c>
    </row>
    <row r="171" spans="1:30" x14ac:dyDescent="0.3">
      <c r="A171" t="s">
        <v>12</v>
      </c>
      <c r="B171" t="s">
        <v>0</v>
      </c>
      <c r="C171" t="s">
        <v>229</v>
      </c>
      <c r="D171">
        <v>363</v>
      </c>
      <c r="E171">
        <v>340</v>
      </c>
      <c r="F171">
        <v>23</v>
      </c>
      <c r="G171">
        <v>93.7</v>
      </c>
      <c r="H171">
        <v>138058387</v>
      </c>
      <c r="I171">
        <v>27129</v>
      </c>
      <c r="J171">
        <v>380326</v>
      </c>
      <c r="K171">
        <v>6</v>
      </c>
      <c r="L171">
        <v>39974843</v>
      </c>
      <c r="M171">
        <v>106</v>
      </c>
      <c r="N171">
        <v>94</v>
      </c>
      <c r="O171">
        <v>12</v>
      </c>
      <c r="P171">
        <v>88.7</v>
      </c>
      <c r="Q171">
        <v>72371088</v>
      </c>
      <c r="R171">
        <v>15135</v>
      </c>
      <c r="S171">
        <v>682746</v>
      </c>
      <c r="T171">
        <v>6</v>
      </c>
      <c r="U171">
        <v>39974843</v>
      </c>
      <c r="V171">
        <v>257</v>
      </c>
      <c r="W171">
        <v>246</v>
      </c>
      <c r="X171">
        <v>11</v>
      </c>
      <c r="Y171">
        <v>95.7</v>
      </c>
      <c r="Z171">
        <v>65687299</v>
      </c>
      <c r="AA171">
        <v>39714</v>
      </c>
      <c r="AB171">
        <v>247836798</v>
      </c>
      <c r="AC171">
        <v>2040</v>
      </c>
      <c r="AD171">
        <v>919421389</v>
      </c>
    </row>
    <row r="172" spans="1:30" x14ac:dyDescent="0.3">
      <c r="A172" t="s">
        <v>11</v>
      </c>
      <c r="B172" t="s">
        <v>0</v>
      </c>
      <c r="C172" t="s">
        <v>229</v>
      </c>
      <c r="D172">
        <v>395</v>
      </c>
      <c r="E172">
        <v>296</v>
      </c>
      <c r="F172">
        <v>99</v>
      </c>
      <c r="G172">
        <v>74.900000000000006</v>
      </c>
      <c r="H172">
        <v>6681703717</v>
      </c>
      <c r="I172">
        <v>146101</v>
      </c>
      <c r="J172">
        <v>16915705</v>
      </c>
      <c r="K172">
        <v>3</v>
      </c>
      <c r="L172">
        <v>753241521</v>
      </c>
      <c r="M172">
        <v>188</v>
      </c>
      <c r="N172">
        <v>124</v>
      </c>
      <c r="O172">
        <v>64</v>
      </c>
      <c r="P172">
        <v>66</v>
      </c>
      <c r="Q172">
        <v>836926431</v>
      </c>
      <c r="R172">
        <v>14429</v>
      </c>
      <c r="S172">
        <v>4451736</v>
      </c>
      <c r="T172">
        <v>3</v>
      </c>
      <c r="U172">
        <v>160743549</v>
      </c>
      <c r="V172">
        <v>207</v>
      </c>
      <c r="W172">
        <v>172</v>
      </c>
      <c r="X172">
        <v>35</v>
      </c>
      <c r="Y172">
        <v>83.1</v>
      </c>
      <c r="Z172">
        <v>5844777286</v>
      </c>
      <c r="AA172">
        <v>2010749</v>
      </c>
      <c r="AB172">
        <v>1758435720</v>
      </c>
      <c r="AC172">
        <v>888</v>
      </c>
      <c r="AD172">
        <v>15913611351</v>
      </c>
    </row>
    <row r="173" spans="1:30" x14ac:dyDescent="0.3">
      <c r="A173" t="s">
        <v>11</v>
      </c>
      <c r="B173" t="s">
        <v>0</v>
      </c>
      <c r="C173" t="s">
        <v>231</v>
      </c>
      <c r="D173">
        <v>500</v>
      </c>
      <c r="E173">
        <v>479</v>
      </c>
      <c r="F173">
        <v>21</v>
      </c>
      <c r="G173">
        <v>95.8</v>
      </c>
      <c r="H173">
        <v>5393039122</v>
      </c>
      <c r="I173">
        <v>502888</v>
      </c>
      <c r="J173">
        <v>10786078</v>
      </c>
      <c r="K173">
        <v>10</v>
      </c>
      <c r="L173">
        <v>803059818</v>
      </c>
      <c r="M173">
        <v>289</v>
      </c>
      <c r="N173">
        <v>275</v>
      </c>
      <c r="O173">
        <v>14</v>
      </c>
      <c r="P173">
        <v>95.2</v>
      </c>
      <c r="Q173">
        <v>4055076213</v>
      </c>
      <c r="R173">
        <v>381752</v>
      </c>
      <c r="S173">
        <v>14031405</v>
      </c>
      <c r="T173">
        <v>23</v>
      </c>
      <c r="U173">
        <v>803059818</v>
      </c>
      <c r="V173">
        <v>211</v>
      </c>
      <c r="W173">
        <v>204</v>
      </c>
      <c r="X173">
        <v>7</v>
      </c>
      <c r="Y173">
        <v>96.7</v>
      </c>
      <c r="Z173">
        <v>1337962909</v>
      </c>
      <c r="AA173">
        <v>814994</v>
      </c>
      <c r="AB173">
        <v>7015702500</v>
      </c>
      <c r="AC173">
        <v>11017</v>
      </c>
      <c r="AD173">
        <v>16864256178</v>
      </c>
    </row>
    <row r="174" spans="1:30" x14ac:dyDescent="0.3">
      <c r="A174" t="s">
        <v>11</v>
      </c>
      <c r="B174" t="s">
        <v>0</v>
      </c>
      <c r="C174" t="s">
        <v>230</v>
      </c>
      <c r="D174">
        <v>327</v>
      </c>
      <c r="E174">
        <v>308</v>
      </c>
      <c r="F174">
        <v>19</v>
      </c>
      <c r="G174">
        <v>94.2</v>
      </c>
      <c r="H174">
        <v>6133421295</v>
      </c>
      <c r="I174">
        <v>672253</v>
      </c>
      <c r="J174">
        <v>18756640</v>
      </c>
      <c r="K174">
        <v>2</v>
      </c>
      <c r="L174">
        <v>819229319</v>
      </c>
      <c r="M174">
        <v>256</v>
      </c>
      <c r="N174">
        <v>242</v>
      </c>
      <c r="O174">
        <v>14</v>
      </c>
      <c r="P174">
        <v>94.5</v>
      </c>
      <c r="Q174">
        <v>4034669314</v>
      </c>
      <c r="R174">
        <v>634558</v>
      </c>
      <c r="S174">
        <v>15760427</v>
      </c>
      <c r="T174">
        <v>2</v>
      </c>
      <c r="U174">
        <v>819229319</v>
      </c>
      <c r="V174">
        <v>71</v>
      </c>
      <c r="W174">
        <v>66</v>
      </c>
      <c r="X174">
        <v>5</v>
      </c>
      <c r="Y174">
        <v>93</v>
      </c>
      <c r="Z174">
        <v>2098751981</v>
      </c>
      <c r="AA174">
        <v>888835</v>
      </c>
      <c r="AB174">
        <v>5153659629</v>
      </c>
      <c r="AC174">
        <v>616</v>
      </c>
      <c r="AD174">
        <v>15565357061</v>
      </c>
    </row>
    <row r="175" spans="1:30" x14ac:dyDescent="0.3">
      <c r="A175" t="s">
        <v>10</v>
      </c>
      <c r="B175" t="s">
        <v>0</v>
      </c>
      <c r="C175" t="s">
        <v>230</v>
      </c>
      <c r="D175">
        <v>500</v>
      </c>
      <c r="E175">
        <v>481</v>
      </c>
      <c r="F175">
        <v>19</v>
      </c>
      <c r="G175">
        <v>96.2</v>
      </c>
      <c r="H175">
        <v>240378090</v>
      </c>
      <c r="I175">
        <v>73226</v>
      </c>
      <c r="J175">
        <v>480756</v>
      </c>
      <c r="K175">
        <v>16</v>
      </c>
      <c r="L175">
        <v>28090391</v>
      </c>
      <c r="M175">
        <v>264</v>
      </c>
      <c r="N175">
        <v>255</v>
      </c>
      <c r="O175">
        <v>9</v>
      </c>
      <c r="P175">
        <v>96.6</v>
      </c>
      <c r="Q175">
        <v>75429006</v>
      </c>
      <c r="R175">
        <v>68591</v>
      </c>
      <c r="S175">
        <v>285715</v>
      </c>
      <c r="T175">
        <v>16</v>
      </c>
      <c r="U175">
        <v>9014323</v>
      </c>
      <c r="V175">
        <v>236</v>
      </c>
      <c r="W175">
        <v>226</v>
      </c>
      <c r="X175">
        <v>10</v>
      </c>
      <c r="Y175">
        <v>95.8</v>
      </c>
      <c r="Z175">
        <v>164949084</v>
      </c>
      <c r="AA175">
        <v>77081</v>
      </c>
      <c r="AB175">
        <v>142857500</v>
      </c>
      <c r="AC175">
        <v>7696</v>
      </c>
      <c r="AD175">
        <v>171272137</v>
      </c>
    </row>
    <row r="176" spans="1:30" x14ac:dyDescent="0.3">
      <c r="A176" t="s">
        <v>9</v>
      </c>
      <c r="B176" t="s">
        <v>0</v>
      </c>
      <c r="C176" t="s">
        <v>229</v>
      </c>
      <c r="D176">
        <v>312</v>
      </c>
      <c r="E176">
        <v>177</v>
      </c>
      <c r="F176">
        <v>135</v>
      </c>
      <c r="G176">
        <v>56.7</v>
      </c>
      <c r="H176">
        <v>98129250</v>
      </c>
      <c r="I176">
        <v>2900</v>
      </c>
      <c r="J176">
        <v>314516</v>
      </c>
      <c r="K176">
        <v>7</v>
      </c>
      <c r="L176">
        <v>22748645</v>
      </c>
      <c r="M176">
        <v>138</v>
      </c>
      <c r="N176">
        <v>58</v>
      </c>
      <c r="O176">
        <v>80</v>
      </c>
      <c r="P176">
        <v>42</v>
      </c>
      <c r="Q176">
        <v>10660798</v>
      </c>
      <c r="R176">
        <v>391</v>
      </c>
      <c r="S176">
        <v>77252</v>
      </c>
      <c r="T176">
        <v>9</v>
      </c>
      <c r="U176">
        <v>2289867</v>
      </c>
      <c r="V176">
        <v>174</v>
      </c>
      <c r="W176">
        <v>119</v>
      </c>
      <c r="X176">
        <v>55</v>
      </c>
      <c r="Y176">
        <v>68.400000000000006</v>
      </c>
      <c r="Z176">
        <v>87468452</v>
      </c>
      <c r="AA176">
        <v>6706</v>
      </c>
      <c r="AB176">
        <v>24102624</v>
      </c>
      <c r="AC176">
        <v>1593</v>
      </c>
      <c r="AD176">
        <v>309132045</v>
      </c>
    </row>
    <row r="177" spans="1:30" x14ac:dyDescent="0.3">
      <c r="A177" t="s">
        <v>9</v>
      </c>
      <c r="B177" t="s">
        <v>0</v>
      </c>
      <c r="C177" t="s">
        <v>231</v>
      </c>
      <c r="D177">
        <v>400</v>
      </c>
      <c r="E177">
        <v>376</v>
      </c>
      <c r="F177">
        <v>24</v>
      </c>
      <c r="G177">
        <v>94</v>
      </c>
      <c r="H177">
        <v>261067649</v>
      </c>
      <c r="I177">
        <v>79294</v>
      </c>
      <c r="J177">
        <v>652669</v>
      </c>
      <c r="K177">
        <v>12</v>
      </c>
      <c r="L177">
        <v>24796191</v>
      </c>
      <c r="M177">
        <v>106</v>
      </c>
      <c r="N177">
        <v>91</v>
      </c>
      <c r="O177">
        <v>15</v>
      </c>
      <c r="P177">
        <v>85.8</v>
      </c>
      <c r="Q177">
        <v>97640815</v>
      </c>
      <c r="R177">
        <v>148586</v>
      </c>
      <c r="S177">
        <v>921139</v>
      </c>
      <c r="T177">
        <v>12</v>
      </c>
      <c r="U177">
        <v>9413877</v>
      </c>
      <c r="V177">
        <v>294</v>
      </c>
      <c r="W177">
        <v>285</v>
      </c>
      <c r="X177">
        <v>9</v>
      </c>
      <c r="Y177">
        <v>96.9</v>
      </c>
      <c r="Z177">
        <v>163426834</v>
      </c>
      <c r="AA177">
        <v>74665</v>
      </c>
      <c r="AB177">
        <v>368455600</v>
      </c>
      <c r="AC177">
        <v>4512</v>
      </c>
      <c r="AD177">
        <v>225933048</v>
      </c>
    </row>
    <row r="178" spans="1:30" x14ac:dyDescent="0.3">
      <c r="A178" t="s">
        <v>9</v>
      </c>
      <c r="B178" t="s">
        <v>0</v>
      </c>
      <c r="C178" t="s">
        <v>230</v>
      </c>
      <c r="D178">
        <v>250</v>
      </c>
      <c r="E178">
        <v>239</v>
      </c>
      <c r="F178">
        <v>11</v>
      </c>
      <c r="G178">
        <v>95.6</v>
      </c>
      <c r="H178">
        <v>89733148</v>
      </c>
      <c r="I178">
        <v>23704</v>
      </c>
      <c r="J178">
        <v>358932</v>
      </c>
      <c r="K178">
        <v>123</v>
      </c>
      <c r="L178">
        <v>10777564</v>
      </c>
      <c r="M178">
        <v>113</v>
      </c>
      <c r="N178">
        <v>109</v>
      </c>
      <c r="O178">
        <v>4</v>
      </c>
      <c r="P178">
        <v>96.5</v>
      </c>
      <c r="Q178">
        <v>83282538</v>
      </c>
      <c r="R178">
        <v>118419</v>
      </c>
      <c r="S178">
        <v>737013</v>
      </c>
      <c r="T178">
        <v>202</v>
      </c>
      <c r="U178">
        <v>10777564</v>
      </c>
      <c r="V178">
        <v>137</v>
      </c>
      <c r="W178">
        <v>130</v>
      </c>
      <c r="X178">
        <v>7</v>
      </c>
      <c r="Y178">
        <v>94.9</v>
      </c>
      <c r="Z178">
        <v>6450610</v>
      </c>
      <c r="AA178">
        <v>12357</v>
      </c>
      <c r="AB178">
        <v>184253250</v>
      </c>
      <c r="AC178">
        <v>48278</v>
      </c>
      <c r="AD178">
        <v>118553204</v>
      </c>
    </row>
    <row r="179" spans="1:30" x14ac:dyDescent="0.3">
      <c r="A179" t="s">
        <v>8</v>
      </c>
      <c r="B179" t="s">
        <v>0</v>
      </c>
      <c r="C179" t="s">
        <v>229</v>
      </c>
      <c r="D179">
        <v>350</v>
      </c>
      <c r="E179">
        <v>308</v>
      </c>
      <c r="F179">
        <v>42</v>
      </c>
      <c r="G179">
        <v>88</v>
      </c>
      <c r="H179">
        <v>2006882956</v>
      </c>
      <c r="I179">
        <v>258480</v>
      </c>
      <c r="J179">
        <v>5733951</v>
      </c>
      <c r="K179">
        <v>5</v>
      </c>
      <c r="L179">
        <v>1499283749</v>
      </c>
      <c r="M179">
        <v>131</v>
      </c>
      <c r="N179">
        <v>107</v>
      </c>
      <c r="O179">
        <v>24</v>
      </c>
      <c r="P179">
        <v>81.7</v>
      </c>
      <c r="Q179">
        <v>212240744</v>
      </c>
      <c r="R179">
        <v>62087</v>
      </c>
      <c r="S179">
        <v>1620158</v>
      </c>
      <c r="T179">
        <v>31</v>
      </c>
      <c r="U179">
        <v>40776742</v>
      </c>
      <c r="V179">
        <v>219</v>
      </c>
      <c r="W179">
        <v>201</v>
      </c>
      <c r="X179">
        <v>18</v>
      </c>
      <c r="Y179">
        <v>91.8</v>
      </c>
      <c r="Z179">
        <v>1794642212</v>
      </c>
      <c r="AA179">
        <v>430875</v>
      </c>
      <c r="AB179">
        <v>567055300</v>
      </c>
      <c r="AC179">
        <v>9548</v>
      </c>
      <c r="AD179">
        <v>1712623164</v>
      </c>
    </row>
    <row r="180" spans="1:30" x14ac:dyDescent="0.3">
      <c r="A180" t="s">
        <v>8</v>
      </c>
      <c r="B180" t="s">
        <v>0</v>
      </c>
      <c r="C180" t="s">
        <v>231</v>
      </c>
      <c r="D180">
        <v>500</v>
      </c>
      <c r="E180">
        <v>434</v>
      </c>
      <c r="F180">
        <v>66</v>
      </c>
      <c r="G180">
        <v>86.8</v>
      </c>
      <c r="H180">
        <v>689474971</v>
      </c>
      <c r="I180">
        <v>291326</v>
      </c>
      <c r="J180">
        <v>1378949</v>
      </c>
      <c r="K180">
        <v>5</v>
      </c>
      <c r="L180">
        <v>29667906</v>
      </c>
      <c r="M180">
        <v>292</v>
      </c>
      <c r="N180">
        <v>249</v>
      </c>
      <c r="O180">
        <v>43</v>
      </c>
      <c r="P180">
        <v>85.3</v>
      </c>
      <c r="Q180">
        <v>429064162</v>
      </c>
      <c r="R180">
        <v>178647</v>
      </c>
      <c r="S180">
        <v>1469397</v>
      </c>
      <c r="T180">
        <v>5</v>
      </c>
      <c r="U180">
        <v>29414113</v>
      </c>
      <c r="V180">
        <v>208</v>
      </c>
      <c r="W180">
        <v>185</v>
      </c>
      <c r="X180">
        <v>23</v>
      </c>
      <c r="Y180">
        <v>88.9</v>
      </c>
      <c r="Z180">
        <v>260410809</v>
      </c>
      <c r="AA180">
        <v>432813</v>
      </c>
      <c r="AB180">
        <v>734698500</v>
      </c>
      <c r="AC180">
        <v>2170</v>
      </c>
      <c r="AD180">
        <v>1941331458</v>
      </c>
    </row>
    <row r="181" spans="1:30" x14ac:dyDescent="0.3">
      <c r="A181" t="s">
        <v>8</v>
      </c>
      <c r="B181" t="s">
        <v>0</v>
      </c>
      <c r="C181" t="s">
        <v>230</v>
      </c>
      <c r="D181">
        <v>500</v>
      </c>
      <c r="E181">
        <v>500</v>
      </c>
      <c r="F181">
        <v>0</v>
      </c>
      <c r="G181">
        <v>100</v>
      </c>
      <c r="H181">
        <v>384763567</v>
      </c>
      <c r="I181">
        <v>246116</v>
      </c>
      <c r="J181">
        <v>769527</v>
      </c>
      <c r="K181">
        <v>1120</v>
      </c>
      <c r="L181">
        <v>29667906</v>
      </c>
      <c r="M181">
        <v>310</v>
      </c>
      <c r="N181">
        <v>310</v>
      </c>
      <c r="O181">
        <v>0</v>
      </c>
      <c r="P181">
        <v>100</v>
      </c>
      <c r="Q181">
        <v>207097730</v>
      </c>
      <c r="R181">
        <v>146356</v>
      </c>
      <c r="S181">
        <v>668057</v>
      </c>
      <c r="T181">
        <v>1120</v>
      </c>
      <c r="U181">
        <v>12683258</v>
      </c>
      <c r="V181">
        <v>190</v>
      </c>
      <c r="W181">
        <v>190</v>
      </c>
      <c r="X181">
        <v>0</v>
      </c>
      <c r="Y181">
        <v>100</v>
      </c>
      <c r="Z181">
        <v>177665837</v>
      </c>
      <c r="AA181">
        <v>435888</v>
      </c>
      <c r="AB181">
        <v>334028500</v>
      </c>
      <c r="AC181">
        <v>560000</v>
      </c>
      <c r="AD181">
        <v>0</v>
      </c>
    </row>
    <row r="182" spans="1:30" x14ac:dyDescent="0.3">
      <c r="A182" t="s">
        <v>7</v>
      </c>
      <c r="B182" t="s">
        <v>0</v>
      </c>
      <c r="C182" t="s">
        <v>230</v>
      </c>
      <c r="D182">
        <v>275</v>
      </c>
      <c r="E182">
        <v>268</v>
      </c>
      <c r="F182">
        <v>7</v>
      </c>
      <c r="G182">
        <v>97.5</v>
      </c>
      <c r="H182">
        <v>9286646</v>
      </c>
      <c r="I182">
        <v>2955</v>
      </c>
      <c r="J182">
        <v>33769</v>
      </c>
      <c r="K182">
        <v>182</v>
      </c>
      <c r="L182">
        <v>3426934</v>
      </c>
      <c r="M182">
        <v>252</v>
      </c>
      <c r="N182">
        <v>248</v>
      </c>
      <c r="O182">
        <v>4</v>
      </c>
      <c r="P182">
        <v>98.4</v>
      </c>
      <c r="Q182">
        <v>8945351</v>
      </c>
      <c r="R182">
        <v>2866</v>
      </c>
      <c r="S182">
        <v>35497</v>
      </c>
      <c r="T182">
        <v>182</v>
      </c>
      <c r="U182">
        <v>3426934</v>
      </c>
      <c r="V182">
        <v>23</v>
      </c>
      <c r="W182">
        <v>20</v>
      </c>
      <c r="X182">
        <v>3</v>
      </c>
      <c r="Y182">
        <v>87</v>
      </c>
      <c r="Z182">
        <v>341295</v>
      </c>
      <c r="AA182">
        <v>7945</v>
      </c>
      <c r="AB182">
        <v>9761675</v>
      </c>
      <c r="AC182">
        <v>48776</v>
      </c>
      <c r="AD182">
        <v>23988538</v>
      </c>
    </row>
    <row r="183" spans="1:30" x14ac:dyDescent="0.3">
      <c r="A183" t="s">
        <v>6</v>
      </c>
      <c r="B183" t="s">
        <v>0</v>
      </c>
      <c r="C183" t="s">
        <v>229</v>
      </c>
      <c r="D183">
        <v>500</v>
      </c>
      <c r="E183">
        <v>500</v>
      </c>
      <c r="F183">
        <v>0</v>
      </c>
      <c r="G183">
        <v>100</v>
      </c>
      <c r="H183">
        <v>1788811042</v>
      </c>
      <c r="I183">
        <v>1695968</v>
      </c>
      <c r="J183">
        <v>3577622</v>
      </c>
      <c r="K183">
        <v>3790</v>
      </c>
      <c r="L183">
        <v>65059871</v>
      </c>
      <c r="M183">
        <v>93</v>
      </c>
      <c r="N183">
        <v>93</v>
      </c>
      <c r="O183">
        <v>0</v>
      </c>
      <c r="P183">
        <v>100</v>
      </c>
      <c r="Q183">
        <v>345860213</v>
      </c>
      <c r="R183">
        <v>382221</v>
      </c>
      <c r="S183">
        <v>3718927</v>
      </c>
      <c r="T183">
        <v>3790</v>
      </c>
      <c r="U183">
        <v>65059871</v>
      </c>
      <c r="V183">
        <v>407</v>
      </c>
      <c r="W183">
        <v>407</v>
      </c>
      <c r="X183">
        <v>0</v>
      </c>
      <c r="Y183">
        <v>100</v>
      </c>
      <c r="Z183">
        <v>1442950829</v>
      </c>
      <c r="AA183">
        <v>2035246</v>
      </c>
      <c r="AB183">
        <v>1859463500</v>
      </c>
      <c r="AC183">
        <v>1895000</v>
      </c>
      <c r="AD183">
        <v>0</v>
      </c>
    </row>
    <row r="184" spans="1:30" x14ac:dyDescent="0.3">
      <c r="A184" t="s">
        <v>6</v>
      </c>
      <c r="B184" t="s">
        <v>0</v>
      </c>
      <c r="C184" t="s">
        <v>231</v>
      </c>
      <c r="D184">
        <v>450</v>
      </c>
      <c r="E184">
        <v>450</v>
      </c>
      <c r="F184">
        <v>0</v>
      </c>
      <c r="G184">
        <v>100</v>
      </c>
      <c r="H184">
        <v>455685332</v>
      </c>
      <c r="I184">
        <v>330637</v>
      </c>
      <c r="J184">
        <v>1012634</v>
      </c>
      <c r="K184">
        <v>1440</v>
      </c>
      <c r="L184">
        <v>57929799</v>
      </c>
      <c r="M184">
        <v>57</v>
      </c>
      <c r="N184">
        <v>57</v>
      </c>
      <c r="O184">
        <v>0</v>
      </c>
      <c r="P184">
        <v>100</v>
      </c>
      <c r="Q184">
        <v>97636763</v>
      </c>
      <c r="R184">
        <v>219996</v>
      </c>
      <c r="S184">
        <v>1712925</v>
      </c>
      <c r="T184">
        <v>2157</v>
      </c>
      <c r="U184">
        <v>57929799</v>
      </c>
      <c r="V184">
        <v>393</v>
      </c>
      <c r="W184">
        <v>393</v>
      </c>
      <c r="X184">
        <v>0</v>
      </c>
      <c r="Y184">
        <v>100</v>
      </c>
      <c r="Z184">
        <v>358048569</v>
      </c>
      <c r="AA184">
        <v>332634</v>
      </c>
      <c r="AB184">
        <v>770816250</v>
      </c>
      <c r="AC184">
        <v>970650</v>
      </c>
      <c r="AD184">
        <v>0</v>
      </c>
    </row>
    <row r="185" spans="1:30" x14ac:dyDescent="0.3">
      <c r="A185" t="s">
        <v>6</v>
      </c>
      <c r="B185" t="s">
        <v>0</v>
      </c>
      <c r="C185" t="s">
        <v>230</v>
      </c>
      <c r="D185">
        <v>500</v>
      </c>
      <c r="E185">
        <v>490</v>
      </c>
      <c r="F185">
        <v>10</v>
      </c>
      <c r="G185">
        <v>98</v>
      </c>
      <c r="H185">
        <v>1032817490</v>
      </c>
      <c r="I185">
        <v>765875</v>
      </c>
      <c r="J185">
        <v>2065634</v>
      </c>
      <c r="K185">
        <v>21</v>
      </c>
      <c r="L185">
        <v>46276506</v>
      </c>
      <c r="M185">
        <v>299</v>
      </c>
      <c r="N185">
        <v>294</v>
      </c>
      <c r="O185">
        <v>5</v>
      </c>
      <c r="P185">
        <v>98.3</v>
      </c>
      <c r="Q185">
        <v>781899424</v>
      </c>
      <c r="R185">
        <v>1064246</v>
      </c>
      <c r="S185">
        <v>2615048</v>
      </c>
      <c r="T185">
        <v>46</v>
      </c>
      <c r="U185">
        <v>46276506</v>
      </c>
      <c r="V185">
        <v>201</v>
      </c>
      <c r="W185">
        <v>196</v>
      </c>
      <c r="X185">
        <v>5</v>
      </c>
      <c r="Y185">
        <v>97.5</v>
      </c>
      <c r="Z185">
        <v>250918066</v>
      </c>
      <c r="AA185">
        <v>434709</v>
      </c>
      <c r="AB185">
        <v>1307524000</v>
      </c>
      <c r="AC185">
        <v>22540</v>
      </c>
      <c r="AD185">
        <v>462765060</v>
      </c>
    </row>
    <row r="186" spans="1:30" x14ac:dyDescent="0.3">
      <c r="A186" t="s">
        <v>5</v>
      </c>
      <c r="B186" t="s">
        <v>0</v>
      </c>
      <c r="C186" t="s">
        <v>229</v>
      </c>
      <c r="D186">
        <v>500</v>
      </c>
      <c r="E186">
        <v>489</v>
      </c>
      <c r="F186">
        <v>11</v>
      </c>
      <c r="G186">
        <v>97.8</v>
      </c>
      <c r="H186">
        <v>39389294</v>
      </c>
      <c r="I186">
        <v>17268</v>
      </c>
      <c r="J186">
        <v>78778</v>
      </c>
      <c r="K186">
        <v>49</v>
      </c>
      <c r="L186">
        <v>2231673</v>
      </c>
      <c r="M186">
        <v>165</v>
      </c>
      <c r="N186">
        <v>155</v>
      </c>
      <c r="O186">
        <v>10</v>
      </c>
      <c r="P186">
        <v>93.9</v>
      </c>
      <c r="Q186">
        <v>11337505</v>
      </c>
      <c r="R186">
        <v>17144</v>
      </c>
      <c r="S186">
        <v>68712</v>
      </c>
      <c r="T186">
        <v>217</v>
      </c>
      <c r="U186">
        <v>1121580</v>
      </c>
      <c r="V186">
        <v>335</v>
      </c>
      <c r="W186">
        <v>334</v>
      </c>
      <c r="X186">
        <v>1</v>
      </c>
      <c r="Y186">
        <v>99.7</v>
      </c>
      <c r="Z186">
        <v>28051789</v>
      </c>
      <c r="AA186">
        <v>17480</v>
      </c>
      <c r="AB186">
        <v>34356000</v>
      </c>
      <c r="AC186">
        <v>106113</v>
      </c>
      <c r="AD186">
        <v>12337380</v>
      </c>
    </row>
    <row r="187" spans="1:30" x14ac:dyDescent="0.3">
      <c r="A187" t="s">
        <v>5</v>
      </c>
      <c r="B187" t="s">
        <v>0</v>
      </c>
      <c r="C187" t="s">
        <v>231</v>
      </c>
      <c r="D187">
        <v>134</v>
      </c>
      <c r="E187">
        <v>100</v>
      </c>
      <c r="F187">
        <v>34</v>
      </c>
      <c r="G187">
        <v>74.599999999999994</v>
      </c>
      <c r="H187">
        <v>15690815</v>
      </c>
      <c r="I187">
        <v>1592</v>
      </c>
      <c r="J187">
        <v>117095</v>
      </c>
      <c r="K187">
        <v>95</v>
      </c>
      <c r="L187">
        <v>4257855</v>
      </c>
      <c r="M187">
        <v>114</v>
      </c>
      <c r="N187">
        <v>87</v>
      </c>
      <c r="O187">
        <v>27</v>
      </c>
      <c r="P187">
        <v>76.3</v>
      </c>
      <c r="Q187">
        <v>4958546</v>
      </c>
      <c r="R187">
        <v>1555</v>
      </c>
      <c r="S187">
        <v>43496</v>
      </c>
      <c r="T187">
        <v>138</v>
      </c>
      <c r="U187">
        <v>2996585</v>
      </c>
      <c r="V187">
        <v>20</v>
      </c>
      <c r="W187">
        <v>13</v>
      </c>
      <c r="X187">
        <v>7</v>
      </c>
      <c r="Y187">
        <v>65</v>
      </c>
      <c r="Z187">
        <v>10732269</v>
      </c>
      <c r="AA187">
        <v>2017</v>
      </c>
      <c r="AB187">
        <v>5828464</v>
      </c>
      <c r="AC187">
        <v>13800</v>
      </c>
      <c r="AD187">
        <v>101883890</v>
      </c>
    </row>
    <row r="188" spans="1:30" x14ac:dyDescent="0.3">
      <c r="A188" t="s">
        <v>5</v>
      </c>
      <c r="B188" t="s">
        <v>0</v>
      </c>
      <c r="C188" t="s">
        <v>230</v>
      </c>
      <c r="D188">
        <v>377</v>
      </c>
      <c r="E188">
        <v>334</v>
      </c>
      <c r="F188">
        <v>43</v>
      </c>
      <c r="G188">
        <v>88.6</v>
      </c>
      <c r="H188">
        <v>989274936</v>
      </c>
      <c r="I188">
        <v>22193</v>
      </c>
      <c r="J188">
        <v>2624071</v>
      </c>
      <c r="K188">
        <v>4</v>
      </c>
      <c r="L188">
        <v>282462061</v>
      </c>
      <c r="M188">
        <v>290</v>
      </c>
      <c r="N188">
        <v>250</v>
      </c>
      <c r="O188">
        <v>40</v>
      </c>
      <c r="P188">
        <v>86.2</v>
      </c>
      <c r="Q188">
        <v>223439538</v>
      </c>
      <c r="R188">
        <v>15191</v>
      </c>
      <c r="S188">
        <v>770481</v>
      </c>
      <c r="T188">
        <v>4</v>
      </c>
      <c r="U188">
        <v>112892667</v>
      </c>
      <c r="V188">
        <v>87</v>
      </c>
      <c r="W188">
        <v>84</v>
      </c>
      <c r="X188">
        <v>3</v>
      </c>
      <c r="Y188">
        <v>96.6</v>
      </c>
      <c r="Z188">
        <v>765835398</v>
      </c>
      <c r="AA188">
        <v>60244</v>
      </c>
      <c r="AB188">
        <v>290471337</v>
      </c>
      <c r="AC188">
        <v>1336</v>
      </c>
      <c r="AD188">
        <v>4854384681</v>
      </c>
    </row>
    <row r="189" spans="1:30" x14ac:dyDescent="0.3">
      <c r="A189" t="s">
        <v>4</v>
      </c>
      <c r="B189" t="s">
        <v>0</v>
      </c>
      <c r="C189" t="s">
        <v>230</v>
      </c>
      <c r="D189">
        <v>496</v>
      </c>
      <c r="E189">
        <v>465</v>
      </c>
      <c r="F189">
        <v>31</v>
      </c>
      <c r="G189">
        <v>93.8</v>
      </c>
      <c r="H189">
        <v>2325554927</v>
      </c>
      <c r="I189">
        <v>262633</v>
      </c>
      <c r="J189">
        <v>4688618</v>
      </c>
      <c r="K189">
        <v>0</v>
      </c>
      <c r="L189">
        <v>263652701</v>
      </c>
      <c r="M189">
        <v>354</v>
      </c>
      <c r="N189">
        <v>335</v>
      </c>
      <c r="O189">
        <v>19</v>
      </c>
      <c r="P189">
        <v>94.6</v>
      </c>
      <c r="Q189">
        <v>1865459685</v>
      </c>
      <c r="R189">
        <v>325922</v>
      </c>
      <c r="S189">
        <v>5269660</v>
      </c>
      <c r="T189">
        <v>0</v>
      </c>
      <c r="U189">
        <v>193011174</v>
      </c>
      <c r="V189">
        <v>142</v>
      </c>
      <c r="W189">
        <v>130</v>
      </c>
      <c r="X189">
        <v>12</v>
      </c>
      <c r="Y189">
        <v>91.5</v>
      </c>
      <c r="Z189">
        <v>460095242</v>
      </c>
      <c r="AA189">
        <v>210045</v>
      </c>
      <c r="AB189">
        <v>2613751360</v>
      </c>
      <c r="AC189">
        <v>0</v>
      </c>
      <c r="AD189">
        <v>5983346394</v>
      </c>
    </row>
    <row r="190" spans="1:30" x14ac:dyDescent="0.3">
      <c r="A190" t="s">
        <v>3</v>
      </c>
      <c r="B190" t="s">
        <v>0</v>
      </c>
      <c r="C190" t="s">
        <v>229</v>
      </c>
      <c r="D190">
        <v>381</v>
      </c>
      <c r="E190">
        <v>249</v>
      </c>
      <c r="F190">
        <v>132</v>
      </c>
      <c r="G190">
        <v>65.400000000000006</v>
      </c>
      <c r="H190">
        <v>28465011</v>
      </c>
      <c r="I190">
        <v>2154</v>
      </c>
      <c r="J190">
        <v>74711</v>
      </c>
      <c r="K190">
        <v>52</v>
      </c>
      <c r="L190">
        <v>4186503</v>
      </c>
      <c r="M190">
        <v>131</v>
      </c>
      <c r="N190">
        <v>80</v>
      </c>
      <c r="O190">
        <v>51</v>
      </c>
      <c r="P190">
        <v>61.1</v>
      </c>
      <c r="Q190">
        <v>13005565</v>
      </c>
      <c r="R190">
        <v>1640</v>
      </c>
      <c r="S190">
        <v>99279</v>
      </c>
      <c r="T190">
        <v>56</v>
      </c>
      <c r="U190">
        <v>2436164</v>
      </c>
      <c r="V190">
        <v>250</v>
      </c>
      <c r="W190">
        <v>169</v>
      </c>
      <c r="X190">
        <v>81</v>
      </c>
      <c r="Y190">
        <v>67.599999999999994</v>
      </c>
      <c r="Z190">
        <v>15459446</v>
      </c>
      <c r="AA190">
        <v>2424</v>
      </c>
      <c r="AB190">
        <v>37825299</v>
      </c>
      <c r="AC190">
        <v>13944</v>
      </c>
      <c r="AD190">
        <v>321573648</v>
      </c>
    </row>
    <row r="191" spans="1:30" x14ac:dyDescent="0.3">
      <c r="A191" t="s">
        <v>3</v>
      </c>
      <c r="B191" t="s">
        <v>0</v>
      </c>
      <c r="C191" t="s">
        <v>231</v>
      </c>
      <c r="D191">
        <v>250</v>
      </c>
      <c r="E191">
        <v>171</v>
      </c>
      <c r="F191">
        <v>79</v>
      </c>
      <c r="G191">
        <v>68.400000000000006</v>
      </c>
      <c r="H191">
        <v>50350534</v>
      </c>
      <c r="I191">
        <v>2472</v>
      </c>
      <c r="J191">
        <v>201402</v>
      </c>
      <c r="K191">
        <v>8</v>
      </c>
      <c r="L191">
        <v>31085866</v>
      </c>
      <c r="M191">
        <v>82</v>
      </c>
      <c r="N191">
        <v>50</v>
      </c>
      <c r="O191">
        <v>32</v>
      </c>
      <c r="P191">
        <v>61</v>
      </c>
      <c r="Q191">
        <v>33129167</v>
      </c>
      <c r="R191">
        <v>1431</v>
      </c>
      <c r="S191">
        <v>404014</v>
      </c>
      <c r="T191">
        <v>116</v>
      </c>
      <c r="U191">
        <v>31085866</v>
      </c>
      <c r="V191">
        <v>168</v>
      </c>
      <c r="W191">
        <v>121</v>
      </c>
      <c r="X191">
        <v>47</v>
      </c>
      <c r="Y191">
        <v>72</v>
      </c>
      <c r="Z191">
        <v>17221367</v>
      </c>
      <c r="AA191">
        <v>2889</v>
      </c>
      <c r="AB191">
        <v>101003500</v>
      </c>
      <c r="AC191">
        <v>19836</v>
      </c>
      <c r="AD191">
        <v>2455783414</v>
      </c>
    </row>
    <row r="192" spans="1:30" x14ac:dyDescent="0.3">
      <c r="A192" t="s">
        <v>3</v>
      </c>
      <c r="B192" t="s">
        <v>0</v>
      </c>
      <c r="C192" t="s">
        <v>230</v>
      </c>
      <c r="D192">
        <v>398</v>
      </c>
      <c r="E192">
        <v>333</v>
      </c>
      <c r="F192">
        <v>65</v>
      </c>
      <c r="G192">
        <v>83.7</v>
      </c>
      <c r="H192">
        <v>229296859</v>
      </c>
      <c r="I192">
        <v>48267</v>
      </c>
      <c r="J192">
        <v>576122</v>
      </c>
      <c r="K192">
        <v>0</v>
      </c>
      <c r="L192">
        <v>26464267</v>
      </c>
      <c r="M192">
        <v>273</v>
      </c>
      <c r="N192">
        <v>228</v>
      </c>
      <c r="O192">
        <v>45</v>
      </c>
      <c r="P192">
        <v>83.5</v>
      </c>
      <c r="Q192">
        <v>151973447</v>
      </c>
      <c r="R192">
        <v>60333</v>
      </c>
      <c r="S192">
        <v>556679</v>
      </c>
      <c r="T192">
        <v>0</v>
      </c>
      <c r="U192">
        <v>26464267</v>
      </c>
      <c r="V192">
        <v>125</v>
      </c>
      <c r="W192">
        <v>105</v>
      </c>
      <c r="X192">
        <v>20</v>
      </c>
      <c r="Y192">
        <v>84</v>
      </c>
      <c r="Z192">
        <v>77323412</v>
      </c>
      <c r="AA192">
        <v>33636</v>
      </c>
      <c r="AB192">
        <v>221558242</v>
      </c>
      <c r="AC192">
        <v>0</v>
      </c>
      <c r="AD192">
        <v>1720177355</v>
      </c>
    </row>
    <row r="193" spans="1:30" x14ac:dyDescent="0.3">
      <c r="A193" t="s">
        <v>2</v>
      </c>
      <c r="B193" t="s">
        <v>0</v>
      </c>
      <c r="C193" t="s">
        <v>229</v>
      </c>
      <c r="D193">
        <v>350</v>
      </c>
      <c r="E193">
        <v>345</v>
      </c>
      <c r="F193">
        <v>5</v>
      </c>
      <c r="G193">
        <v>98.6</v>
      </c>
      <c r="H193">
        <v>7155467202</v>
      </c>
      <c r="I193">
        <v>226985</v>
      </c>
      <c r="J193">
        <v>20444192</v>
      </c>
      <c r="K193">
        <v>66</v>
      </c>
      <c r="L193">
        <v>2286790933</v>
      </c>
      <c r="M193">
        <v>109</v>
      </c>
      <c r="N193">
        <v>106</v>
      </c>
      <c r="O193">
        <v>3</v>
      </c>
      <c r="P193">
        <v>97.2</v>
      </c>
      <c r="Q193">
        <v>219380331</v>
      </c>
      <c r="R193">
        <v>124343</v>
      </c>
      <c r="S193">
        <v>2012663</v>
      </c>
      <c r="T193">
        <v>66</v>
      </c>
      <c r="U193">
        <v>48335159</v>
      </c>
      <c r="V193">
        <v>241</v>
      </c>
      <c r="W193">
        <v>239</v>
      </c>
      <c r="X193">
        <v>2</v>
      </c>
      <c r="Y193">
        <v>99.2</v>
      </c>
      <c r="Z193">
        <v>6936086871</v>
      </c>
      <c r="AA193">
        <v>297725</v>
      </c>
      <c r="AB193">
        <v>704432050</v>
      </c>
      <c r="AC193">
        <v>22770</v>
      </c>
      <c r="AD193">
        <v>241675795</v>
      </c>
    </row>
    <row r="194" spans="1:30" x14ac:dyDescent="0.3">
      <c r="A194" t="s">
        <v>2</v>
      </c>
      <c r="B194" t="s">
        <v>0</v>
      </c>
      <c r="C194" t="s">
        <v>231</v>
      </c>
      <c r="D194">
        <v>500</v>
      </c>
      <c r="E194">
        <v>434</v>
      </c>
      <c r="F194">
        <v>66</v>
      </c>
      <c r="G194">
        <v>86.8</v>
      </c>
      <c r="H194">
        <v>1956183788</v>
      </c>
      <c r="I194">
        <v>9923</v>
      </c>
      <c r="J194">
        <v>3912367</v>
      </c>
      <c r="K194">
        <v>0</v>
      </c>
      <c r="L194">
        <v>176944688</v>
      </c>
      <c r="M194">
        <v>421</v>
      </c>
      <c r="N194">
        <v>355</v>
      </c>
      <c r="O194">
        <v>66</v>
      </c>
      <c r="P194">
        <v>84.3</v>
      </c>
      <c r="Q194">
        <v>1806208663</v>
      </c>
      <c r="R194">
        <v>4326</v>
      </c>
      <c r="S194">
        <v>4290281</v>
      </c>
      <c r="T194">
        <v>0</v>
      </c>
      <c r="U194">
        <v>176944688</v>
      </c>
      <c r="V194">
        <v>79</v>
      </c>
      <c r="W194">
        <v>79</v>
      </c>
      <c r="X194">
        <v>0</v>
      </c>
      <c r="Y194">
        <v>100</v>
      </c>
      <c r="Z194">
        <v>149975125</v>
      </c>
      <c r="AA194">
        <v>381963</v>
      </c>
      <c r="AB194">
        <v>2145140500</v>
      </c>
      <c r="AC194">
        <v>0</v>
      </c>
      <c r="AD194">
        <v>11678349408</v>
      </c>
    </row>
    <row r="195" spans="1:30" x14ac:dyDescent="0.3">
      <c r="A195" t="s">
        <v>2</v>
      </c>
      <c r="B195" t="s">
        <v>0</v>
      </c>
      <c r="C195" t="s">
        <v>230</v>
      </c>
      <c r="D195">
        <v>499</v>
      </c>
      <c r="E195">
        <v>493</v>
      </c>
      <c r="F195">
        <v>6</v>
      </c>
      <c r="G195">
        <v>98.8</v>
      </c>
      <c r="H195">
        <v>3556362484</v>
      </c>
      <c r="I195">
        <v>786367</v>
      </c>
      <c r="J195">
        <v>7126978</v>
      </c>
      <c r="K195">
        <v>203</v>
      </c>
      <c r="L195">
        <v>546575479</v>
      </c>
      <c r="M195">
        <v>487</v>
      </c>
      <c r="N195">
        <v>481</v>
      </c>
      <c r="O195">
        <v>6</v>
      </c>
      <c r="P195">
        <v>98.8</v>
      </c>
      <c r="Q195">
        <v>3536441063</v>
      </c>
      <c r="R195">
        <v>845411</v>
      </c>
      <c r="S195">
        <v>7261685</v>
      </c>
      <c r="T195">
        <v>203</v>
      </c>
      <c r="U195">
        <v>546575479</v>
      </c>
      <c r="V195">
        <v>12</v>
      </c>
      <c r="W195">
        <v>12</v>
      </c>
      <c r="X195">
        <v>0</v>
      </c>
      <c r="Y195">
        <v>100</v>
      </c>
      <c r="Z195">
        <v>19921421</v>
      </c>
      <c r="AA195">
        <v>277474</v>
      </c>
      <c r="AB195">
        <v>3623580815</v>
      </c>
      <c r="AC195">
        <v>100079</v>
      </c>
      <c r="AD195">
        <v>3279452874</v>
      </c>
    </row>
    <row r="196" spans="1:30" x14ac:dyDescent="0.3">
      <c r="A196" t="s">
        <v>1</v>
      </c>
      <c r="B196" t="s">
        <v>0</v>
      </c>
      <c r="C196" t="s">
        <v>229</v>
      </c>
      <c r="D196">
        <v>400</v>
      </c>
      <c r="E196">
        <v>269</v>
      </c>
      <c r="F196">
        <v>131</v>
      </c>
      <c r="G196">
        <v>67.2</v>
      </c>
      <c r="H196">
        <v>6706626</v>
      </c>
      <c r="I196">
        <v>2352</v>
      </c>
      <c r="J196">
        <v>16766</v>
      </c>
      <c r="K196">
        <v>2</v>
      </c>
      <c r="L196">
        <v>1722232</v>
      </c>
      <c r="M196">
        <v>160</v>
      </c>
      <c r="N196">
        <v>101</v>
      </c>
      <c r="O196">
        <v>59</v>
      </c>
      <c r="P196">
        <v>63.1</v>
      </c>
      <c r="Q196">
        <v>1245919</v>
      </c>
      <c r="R196">
        <v>1877</v>
      </c>
      <c r="S196">
        <v>7786</v>
      </c>
      <c r="T196">
        <v>2</v>
      </c>
      <c r="U196">
        <v>544202</v>
      </c>
      <c r="V196">
        <v>240</v>
      </c>
      <c r="W196">
        <v>168</v>
      </c>
      <c r="X196">
        <v>72</v>
      </c>
      <c r="Y196">
        <v>70</v>
      </c>
      <c r="Z196">
        <v>5460707</v>
      </c>
      <c r="AA196">
        <v>2596</v>
      </c>
      <c r="AB196">
        <v>3114400</v>
      </c>
      <c r="AC196">
        <v>538</v>
      </c>
      <c r="AD196">
        <v>71290462</v>
      </c>
    </row>
    <row r="197" spans="1:30" x14ac:dyDescent="0.3">
      <c r="A197" t="s">
        <v>1</v>
      </c>
      <c r="B197" t="s">
        <v>0</v>
      </c>
      <c r="C197" t="s">
        <v>231</v>
      </c>
      <c r="D197">
        <v>37</v>
      </c>
      <c r="E197">
        <v>25</v>
      </c>
      <c r="F197">
        <v>12</v>
      </c>
      <c r="G197">
        <v>67.599999999999994</v>
      </c>
      <c r="H197">
        <v>274922</v>
      </c>
      <c r="I197">
        <v>2176</v>
      </c>
      <c r="J197">
        <v>7430</v>
      </c>
      <c r="K197">
        <v>65</v>
      </c>
      <c r="L197">
        <v>86258</v>
      </c>
      <c r="M197">
        <v>12</v>
      </c>
      <c r="N197">
        <v>5</v>
      </c>
      <c r="O197">
        <v>7</v>
      </c>
      <c r="P197">
        <v>41.7</v>
      </c>
      <c r="Q197">
        <v>32393</v>
      </c>
      <c r="R197">
        <v>978</v>
      </c>
      <c r="S197">
        <v>2699</v>
      </c>
      <c r="T197">
        <v>173</v>
      </c>
      <c r="U197">
        <v>18829</v>
      </c>
      <c r="V197">
        <v>25</v>
      </c>
      <c r="W197">
        <v>20</v>
      </c>
      <c r="X197">
        <v>5</v>
      </c>
      <c r="Y197">
        <v>80</v>
      </c>
      <c r="Z197">
        <v>242529</v>
      </c>
      <c r="AA197">
        <v>2716</v>
      </c>
      <c r="AB197">
        <v>99863</v>
      </c>
      <c r="AC197">
        <v>4325</v>
      </c>
      <c r="AD197">
        <v>225948</v>
      </c>
    </row>
    <row r="198" spans="1:30" x14ac:dyDescent="0.3">
      <c r="A198" t="s">
        <v>1</v>
      </c>
      <c r="B198" t="s">
        <v>0</v>
      </c>
      <c r="C198" t="s">
        <v>230</v>
      </c>
      <c r="D198">
        <v>500</v>
      </c>
      <c r="E198">
        <v>333</v>
      </c>
      <c r="F198">
        <v>167</v>
      </c>
      <c r="G198">
        <v>66.599999999999994</v>
      </c>
      <c r="H198">
        <v>18273801</v>
      </c>
      <c r="I198">
        <v>1858</v>
      </c>
      <c r="J198">
        <v>36547</v>
      </c>
      <c r="K198">
        <v>0</v>
      </c>
      <c r="L198">
        <v>5274487</v>
      </c>
      <c r="M198">
        <v>282</v>
      </c>
      <c r="N198">
        <v>208</v>
      </c>
      <c r="O198">
        <v>74</v>
      </c>
      <c r="P198">
        <v>73.8</v>
      </c>
      <c r="Q198">
        <v>15402360</v>
      </c>
      <c r="R198">
        <v>2348</v>
      </c>
      <c r="S198">
        <v>54618</v>
      </c>
      <c r="T198">
        <v>0</v>
      </c>
      <c r="U198">
        <v>5274487</v>
      </c>
      <c r="V198">
        <v>218</v>
      </c>
      <c r="W198">
        <v>125</v>
      </c>
      <c r="X198">
        <v>93</v>
      </c>
      <c r="Y198">
        <v>57.3</v>
      </c>
      <c r="Z198">
        <v>2871441</v>
      </c>
      <c r="AA198">
        <v>1716</v>
      </c>
      <c r="AB198">
        <v>27309000</v>
      </c>
      <c r="AC198">
        <v>0</v>
      </c>
      <c r="AD198">
        <v>880839329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B1B02B6-D1F8-4A88-830E-22AE0DFDF36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Keywords_Main</vt:lpstr>
      <vt:lpstr>Keywords_Age</vt:lpstr>
      <vt:lpstr>Trends_Main</vt:lpstr>
      <vt:lpstr>Trends_Age</vt:lpstr>
      <vt:lpstr>Youtube_Main</vt:lpstr>
      <vt:lpstr>Youtube_Age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Hassan Tariq</dc:creator>
  <cp:lastModifiedBy>Hassan Tariq</cp:lastModifiedBy>
  <dcterms:created xsi:type="dcterms:W3CDTF">2026-09-27T17:55:47Z</dcterms:created>
  <dcterms:modified xsi:type="dcterms:W3CDTF">2026-09-17T07:43:56Z</dcterms:modified>
</cp:coreProperties>
</file>